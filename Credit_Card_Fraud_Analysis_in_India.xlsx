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RAS BHUVAD\Documents\pw practice excel\fraud detection project\"/>
    </mc:Choice>
  </mc:AlternateContent>
  <xr:revisionPtr revIDLastSave="0" documentId="8_{E248EFF1-3292-4686-9FA9-B293FDF486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nsaction Data" sheetId="1" r:id="rId1"/>
    <sheet name="Dashboard" sheetId="4" r:id="rId2"/>
    <sheet name="Calculation" sheetId="5" r:id="rId3"/>
    <sheet name="Column Guide" sheetId="2" r:id="rId4"/>
    <sheet name="Read Me" sheetId="3" r:id="rId5"/>
  </sheets>
  <externalReferences>
    <externalReference r:id="rId6"/>
  </externalReferences>
  <definedNames>
    <definedName name="_xlnm._FilterDatabase" localSheetId="1" hidden="1">Calculation!$G$12:$H$22</definedName>
    <definedName name="_xlchart.v5.0" hidden="1">Calculation!$G$12</definedName>
    <definedName name="_xlchart.v5.1" hidden="1">Calculation!$G$13:$G$22</definedName>
    <definedName name="_xlchart.v5.2" hidden="1">Calculation!$H$12</definedName>
    <definedName name="_xlchart.v5.3" hidden="1">Calculation!$H$13:$H$22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4" l="1"/>
  <c r="P7" i="4"/>
  <c r="C27" i="5"/>
  <c r="C26" i="5"/>
  <c r="H22" i="5"/>
  <c r="H21" i="5"/>
  <c r="H20" i="5"/>
  <c r="H19" i="5"/>
  <c r="H18" i="5"/>
  <c r="H17" i="5"/>
  <c r="H16" i="5"/>
  <c r="H15" i="5"/>
  <c r="H14" i="5"/>
  <c r="H13" i="5"/>
  <c r="I6" i="5"/>
  <c r="I5" i="5"/>
  <c r="I4" i="5"/>
  <c r="I3" i="5"/>
  <c r="C18" i="5"/>
  <c r="C17" i="5"/>
  <c r="C16" i="5"/>
  <c r="C15" i="5"/>
  <c r="C14" i="5"/>
  <c r="C13" i="5"/>
  <c r="C7" i="5"/>
  <c r="B7" i="5"/>
  <c r="C6" i="5"/>
  <c r="B6" i="5"/>
  <c r="C5" i="5"/>
  <c r="B5" i="5"/>
  <c r="C4" i="5"/>
  <c r="B4" i="5"/>
  <c r="C3" i="5"/>
  <c r="B3" i="5"/>
  <c r="C2" i="5"/>
  <c r="B2" i="5"/>
  <c r="F7" i="4"/>
  <c r="K7" i="4" s="1"/>
  <c r="P2" i="1" a="1"/>
  <c r="P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 s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 s="1"/>
  <c r="P441" i="1" a="1"/>
  <c r="P441" i="1" s="1"/>
  <c r="P442" i="1" a="1"/>
  <c r="P442" i="1" s="1"/>
  <c r="P443" i="1" a="1"/>
  <c r="P443" i="1" s="1"/>
  <c r="P444" i="1" a="1"/>
  <c r="P444" i="1" s="1"/>
  <c r="P445" i="1" a="1"/>
  <c r="P445" i="1" s="1"/>
  <c r="P446" i="1" a="1"/>
  <c r="P446" i="1" s="1"/>
  <c r="P447" i="1" a="1"/>
  <c r="P447" i="1" s="1"/>
  <c r="P448" i="1" a="1"/>
  <c r="P448" i="1" s="1"/>
  <c r="P449" i="1" a="1"/>
  <c r="P449" i="1" s="1"/>
  <c r="P450" i="1" a="1"/>
  <c r="P450" i="1" s="1"/>
  <c r="P451" i="1" a="1"/>
  <c r="P451" i="1" s="1"/>
  <c r="P452" i="1" a="1"/>
  <c r="P452" i="1" s="1"/>
  <c r="P453" i="1" a="1"/>
  <c r="P453" i="1" s="1"/>
  <c r="P454" i="1" a="1"/>
  <c r="P454" i="1" s="1"/>
  <c r="P455" i="1" a="1"/>
  <c r="P455" i="1" s="1"/>
  <c r="P456" i="1" a="1"/>
  <c r="P456" i="1" s="1"/>
  <c r="P457" i="1" a="1"/>
  <c r="P457" i="1" s="1"/>
  <c r="P458" i="1" a="1"/>
  <c r="P458" i="1" s="1"/>
  <c r="P459" i="1" a="1"/>
  <c r="P459" i="1" s="1"/>
  <c r="P460" i="1" a="1"/>
  <c r="P460" i="1" s="1"/>
  <c r="P461" i="1" a="1"/>
  <c r="P461" i="1" s="1"/>
  <c r="P462" i="1" a="1"/>
  <c r="P462" i="1" s="1"/>
  <c r="P463" i="1" a="1"/>
  <c r="P463" i="1" s="1"/>
  <c r="P464" i="1" a="1"/>
  <c r="P464" i="1" s="1"/>
  <c r="P465" i="1" a="1"/>
  <c r="P465" i="1" s="1"/>
  <c r="P466" i="1" a="1"/>
  <c r="P466" i="1" s="1"/>
  <c r="P467" i="1" a="1"/>
  <c r="P467" i="1" s="1"/>
  <c r="P468" i="1" a="1"/>
  <c r="P468" i="1" s="1"/>
  <c r="P469" i="1" a="1"/>
  <c r="P469" i="1" s="1"/>
  <c r="P470" i="1" a="1"/>
  <c r="P470" i="1" s="1"/>
  <c r="P471" i="1" a="1"/>
  <c r="P471" i="1" s="1"/>
  <c r="P472" i="1" a="1"/>
  <c r="P472" i="1" s="1"/>
  <c r="P473" i="1" a="1"/>
  <c r="P473" i="1" s="1"/>
  <c r="P474" i="1" a="1"/>
  <c r="P474" i="1" s="1"/>
  <c r="P475" i="1" a="1"/>
  <c r="P475" i="1" s="1"/>
  <c r="P476" i="1" a="1"/>
  <c r="P476" i="1" s="1"/>
  <c r="P477" i="1" a="1"/>
  <c r="P477" i="1" s="1"/>
  <c r="P478" i="1" a="1"/>
  <c r="P478" i="1" s="1"/>
  <c r="P479" i="1" a="1"/>
  <c r="P479" i="1" s="1"/>
  <c r="P480" i="1" a="1"/>
  <c r="P480" i="1" s="1"/>
  <c r="P481" i="1" a="1"/>
  <c r="P481" i="1" s="1"/>
  <c r="P482" i="1" a="1"/>
  <c r="P482" i="1" s="1"/>
  <c r="P483" i="1" a="1"/>
  <c r="P483" i="1" s="1"/>
  <c r="P484" i="1" a="1"/>
  <c r="P484" i="1" s="1"/>
  <c r="P485" i="1" a="1"/>
  <c r="P485" i="1" s="1"/>
  <c r="P486" i="1" a="1"/>
  <c r="P486" i="1" s="1"/>
  <c r="P487" i="1" a="1"/>
  <c r="P487" i="1" s="1"/>
  <c r="P488" i="1" a="1"/>
  <c r="P488" i="1" s="1"/>
  <c r="P489" i="1" a="1"/>
  <c r="P489" i="1" s="1"/>
  <c r="P490" i="1" a="1"/>
  <c r="P490" i="1" s="1"/>
  <c r="P491" i="1" a="1"/>
  <c r="P491" i="1" s="1"/>
  <c r="P492" i="1" a="1"/>
  <c r="P492" i="1" s="1"/>
  <c r="P493" i="1" a="1"/>
  <c r="P493" i="1" s="1"/>
  <c r="P494" i="1" a="1"/>
  <c r="P494" i="1" s="1"/>
  <c r="P495" i="1" a="1"/>
  <c r="P495" i="1" s="1"/>
  <c r="P496" i="1" a="1"/>
  <c r="P496" i="1" s="1"/>
  <c r="P497" i="1" a="1"/>
  <c r="P497" i="1" s="1"/>
  <c r="P498" i="1" a="1"/>
  <c r="P498" i="1" s="1"/>
  <c r="P499" i="1" a="1"/>
  <c r="P499" i="1" s="1"/>
  <c r="P500" i="1" a="1"/>
  <c r="P500" i="1" s="1"/>
  <c r="P501" i="1" a="1"/>
  <c r="P501" i="1" s="1"/>
  <c r="P502" i="1" a="1"/>
  <c r="P502" i="1" s="1"/>
  <c r="P503" i="1" a="1"/>
  <c r="P503" i="1" s="1"/>
  <c r="P504" i="1" a="1"/>
  <c r="P504" i="1" s="1"/>
  <c r="P505" i="1" a="1"/>
  <c r="P505" i="1" s="1"/>
  <c r="P506" i="1" a="1"/>
  <c r="P506" i="1" s="1"/>
  <c r="P507" i="1" a="1"/>
  <c r="P507" i="1" s="1"/>
  <c r="P508" i="1" a="1"/>
  <c r="P508" i="1" s="1"/>
  <c r="P509" i="1" a="1"/>
  <c r="P509" i="1" s="1"/>
  <c r="P510" i="1" a="1"/>
  <c r="P510" i="1" s="1"/>
  <c r="P511" i="1" a="1"/>
  <c r="P511" i="1" s="1"/>
  <c r="P512" i="1" a="1"/>
  <c r="P512" i="1" s="1"/>
  <c r="P513" i="1" a="1"/>
  <c r="P513" i="1" s="1"/>
  <c r="P514" i="1" a="1"/>
  <c r="P514" i="1" s="1"/>
  <c r="P515" i="1" a="1"/>
  <c r="P515" i="1" s="1"/>
  <c r="P516" i="1" a="1"/>
  <c r="P516" i="1" s="1"/>
  <c r="P517" i="1" a="1"/>
  <c r="P517" i="1" s="1"/>
  <c r="P518" i="1" a="1"/>
  <c r="P518" i="1" s="1"/>
  <c r="P519" i="1" a="1"/>
  <c r="P519" i="1" s="1"/>
  <c r="P520" i="1" a="1"/>
  <c r="P520" i="1" s="1"/>
  <c r="P521" i="1" a="1"/>
  <c r="P521" i="1" s="1"/>
  <c r="P522" i="1" a="1"/>
  <c r="P522" i="1" s="1"/>
  <c r="P523" i="1" a="1"/>
  <c r="P523" i="1" s="1"/>
  <c r="P524" i="1" a="1"/>
  <c r="P524" i="1" s="1"/>
  <c r="P525" i="1" a="1"/>
  <c r="P525" i="1" s="1"/>
  <c r="P526" i="1" a="1"/>
  <c r="P526" i="1" s="1"/>
  <c r="P527" i="1" a="1"/>
  <c r="P527" i="1" s="1"/>
  <c r="P528" i="1" a="1"/>
  <c r="P528" i="1" s="1"/>
  <c r="P529" i="1" a="1"/>
  <c r="P529" i="1" s="1"/>
  <c r="P530" i="1" a="1"/>
  <c r="P530" i="1" s="1"/>
  <c r="P531" i="1" a="1"/>
  <c r="P531" i="1" s="1"/>
  <c r="P532" i="1" a="1"/>
  <c r="P532" i="1" s="1"/>
  <c r="P533" i="1" a="1"/>
  <c r="P533" i="1" s="1"/>
  <c r="P534" i="1" a="1"/>
  <c r="P534" i="1" s="1"/>
  <c r="P535" i="1" a="1"/>
  <c r="P535" i="1" s="1"/>
  <c r="P536" i="1" a="1"/>
  <c r="P536" i="1" s="1"/>
  <c r="P537" i="1" a="1"/>
  <c r="P537" i="1" s="1"/>
  <c r="P538" i="1" a="1"/>
  <c r="P538" i="1" s="1"/>
  <c r="P539" i="1" a="1"/>
  <c r="P539" i="1" s="1"/>
  <c r="P540" i="1" a="1"/>
  <c r="P540" i="1" s="1"/>
  <c r="P541" i="1" a="1"/>
  <c r="P541" i="1" s="1"/>
  <c r="P542" i="1" a="1"/>
  <c r="P542" i="1" s="1"/>
  <c r="P543" i="1" a="1"/>
  <c r="P543" i="1" s="1"/>
  <c r="P544" i="1" a="1"/>
  <c r="P544" i="1" s="1"/>
  <c r="P545" i="1" a="1"/>
  <c r="P545" i="1" s="1"/>
  <c r="P546" i="1" a="1"/>
  <c r="P546" i="1" s="1"/>
  <c r="P547" i="1" a="1"/>
  <c r="P547" i="1" s="1"/>
  <c r="P548" i="1" a="1"/>
  <c r="P548" i="1" s="1"/>
  <c r="P549" i="1" a="1"/>
  <c r="P549" i="1" s="1"/>
  <c r="P550" i="1" a="1"/>
  <c r="P550" i="1" s="1"/>
  <c r="P551" i="1" a="1"/>
  <c r="P551" i="1" s="1"/>
  <c r="P552" i="1" a="1"/>
  <c r="P552" i="1" s="1"/>
  <c r="P553" i="1" a="1"/>
  <c r="P553" i="1" s="1"/>
  <c r="P554" i="1" a="1"/>
  <c r="P554" i="1" s="1"/>
  <c r="P555" i="1" a="1"/>
  <c r="P555" i="1" s="1"/>
  <c r="P556" i="1" a="1"/>
  <c r="P556" i="1" s="1"/>
  <c r="P557" i="1" a="1"/>
  <c r="P557" i="1" s="1"/>
  <c r="P558" i="1" a="1"/>
  <c r="P558" i="1" s="1"/>
  <c r="P559" i="1" a="1"/>
  <c r="P559" i="1" s="1"/>
  <c r="P560" i="1" a="1"/>
  <c r="P560" i="1" s="1"/>
  <c r="P561" i="1" a="1"/>
  <c r="P561" i="1" s="1"/>
  <c r="P562" i="1" a="1"/>
  <c r="P562" i="1" s="1"/>
  <c r="P563" i="1" a="1"/>
  <c r="P563" i="1" s="1"/>
  <c r="P564" i="1" a="1"/>
  <c r="P564" i="1" s="1"/>
  <c r="P565" i="1" a="1"/>
  <c r="P565" i="1" s="1"/>
  <c r="P566" i="1" a="1"/>
  <c r="P566" i="1" s="1"/>
  <c r="P567" i="1" a="1"/>
  <c r="P567" i="1" s="1"/>
  <c r="P568" i="1" a="1"/>
  <c r="P568" i="1" s="1"/>
  <c r="P569" i="1" a="1"/>
  <c r="P569" i="1" s="1"/>
  <c r="P570" i="1" a="1"/>
  <c r="P570" i="1" s="1"/>
  <c r="P571" i="1" a="1"/>
  <c r="P571" i="1" s="1"/>
  <c r="P572" i="1" a="1"/>
  <c r="P572" i="1" s="1"/>
  <c r="P573" i="1" a="1"/>
  <c r="P573" i="1" s="1"/>
  <c r="P574" i="1" a="1"/>
  <c r="P574" i="1" s="1"/>
  <c r="P575" i="1" a="1"/>
  <c r="P575" i="1" s="1"/>
  <c r="P576" i="1" a="1"/>
  <c r="P576" i="1" s="1"/>
  <c r="P577" i="1" a="1"/>
  <c r="P577" i="1" s="1"/>
  <c r="P578" i="1" a="1"/>
  <c r="P578" i="1" s="1"/>
  <c r="P579" i="1" a="1"/>
  <c r="P579" i="1" s="1"/>
  <c r="P580" i="1" a="1"/>
  <c r="P580" i="1" s="1"/>
  <c r="P581" i="1" a="1"/>
  <c r="P581" i="1" s="1"/>
  <c r="P582" i="1" a="1"/>
  <c r="P582" i="1" s="1"/>
  <c r="P583" i="1" a="1"/>
  <c r="P583" i="1" s="1"/>
  <c r="P584" i="1" a="1"/>
  <c r="P584" i="1" s="1"/>
  <c r="P585" i="1" a="1"/>
  <c r="P585" i="1" s="1"/>
  <c r="P586" i="1" a="1"/>
  <c r="P586" i="1" s="1"/>
  <c r="P587" i="1" a="1"/>
  <c r="P587" i="1" s="1"/>
  <c r="P588" i="1" a="1"/>
  <c r="P588" i="1" s="1"/>
  <c r="P589" i="1" a="1"/>
  <c r="P589" i="1" s="1"/>
  <c r="P590" i="1" a="1"/>
  <c r="P590" i="1" s="1"/>
  <c r="P591" i="1" a="1"/>
  <c r="P591" i="1" s="1"/>
  <c r="P592" i="1" a="1"/>
  <c r="P592" i="1" s="1"/>
  <c r="P593" i="1" a="1"/>
  <c r="P593" i="1" s="1"/>
  <c r="P594" i="1" a="1"/>
  <c r="P594" i="1" s="1"/>
  <c r="P595" i="1" a="1"/>
  <c r="P595" i="1" s="1"/>
  <c r="P596" i="1" a="1"/>
  <c r="P596" i="1" s="1"/>
  <c r="P597" i="1" a="1"/>
  <c r="P597" i="1" s="1"/>
  <c r="P598" i="1" a="1"/>
  <c r="P598" i="1" s="1"/>
  <c r="P599" i="1" a="1"/>
  <c r="P599" i="1" s="1"/>
  <c r="P600" i="1" a="1"/>
  <c r="P600" i="1" s="1"/>
  <c r="P601" i="1" a="1"/>
  <c r="P601" i="1" s="1"/>
  <c r="P602" i="1" a="1"/>
  <c r="P602" i="1" s="1"/>
  <c r="P603" i="1" a="1"/>
  <c r="P603" i="1" s="1"/>
  <c r="P604" i="1" a="1"/>
  <c r="P604" i="1" s="1"/>
  <c r="P605" i="1" a="1"/>
  <c r="P605" i="1" s="1"/>
  <c r="P606" i="1" a="1"/>
  <c r="P606" i="1" s="1"/>
  <c r="P607" i="1" a="1"/>
  <c r="P607" i="1" s="1"/>
  <c r="P608" i="1" a="1"/>
  <c r="P608" i="1" s="1"/>
  <c r="P609" i="1" a="1"/>
  <c r="P609" i="1" s="1"/>
  <c r="P610" i="1" a="1"/>
  <c r="P610" i="1" s="1"/>
  <c r="P611" i="1" a="1"/>
  <c r="P611" i="1" s="1"/>
  <c r="P612" i="1" a="1"/>
  <c r="P612" i="1" s="1"/>
  <c r="P613" i="1" a="1"/>
  <c r="P613" i="1" s="1"/>
  <c r="P614" i="1" a="1"/>
  <c r="P614" i="1" s="1"/>
  <c r="P615" i="1" a="1"/>
  <c r="P615" i="1" s="1"/>
  <c r="P616" i="1" a="1"/>
  <c r="P616" i="1" s="1"/>
  <c r="P617" i="1" a="1"/>
  <c r="P617" i="1" s="1"/>
  <c r="P618" i="1" a="1"/>
  <c r="P618" i="1" s="1"/>
  <c r="P619" i="1" a="1"/>
  <c r="P619" i="1" s="1"/>
  <c r="P620" i="1" a="1"/>
  <c r="P620" i="1" s="1"/>
  <c r="P621" i="1" a="1"/>
  <c r="P621" i="1" s="1"/>
  <c r="P622" i="1" a="1"/>
  <c r="P622" i="1" s="1"/>
  <c r="P623" i="1" a="1"/>
  <c r="P623" i="1" s="1"/>
  <c r="P624" i="1" a="1"/>
  <c r="P624" i="1" s="1"/>
  <c r="P625" i="1" a="1"/>
  <c r="P625" i="1" s="1"/>
  <c r="P626" i="1" a="1"/>
  <c r="P626" i="1" s="1"/>
  <c r="P627" i="1" a="1"/>
  <c r="P627" i="1" s="1"/>
  <c r="P628" i="1" a="1"/>
  <c r="P628" i="1" s="1"/>
  <c r="P629" i="1" a="1"/>
  <c r="P629" i="1" s="1"/>
  <c r="P630" i="1" a="1"/>
  <c r="P630" i="1" s="1"/>
  <c r="P631" i="1" a="1"/>
  <c r="P631" i="1" s="1"/>
  <c r="P632" i="1" a="1"/>
  <c r="P632" i="1" s="1"/>
  <c r="P633" i="1" a="1"/>
  <c r="P633" i="1" s="1"/>
  <c r="P634" i="1" a="1"/>
  <c r="P634" i="1" s="1"/>
  <c r="P635" i="1" a="1"/>
  <c r="P635" i="1" s="1"/>
  <c r="P636" i="1" a="1"/>
  <c r="P636" i="1" s="1"/>
  <c r="P637" i="1" a="1"/>
  <c r="P637" i="1" s="1"/>
  <c r="P638" i="1" a="1"/>
  <c r="P638" i="1" s="1"/>
  <c r="P639" i="1" a="1"/>
  <c r="P639" i="1" s="1"/>
  <c r="P640" i="1" a="1"/>
  <c r="P640" i="1" s="1"/>
  <c r="P641" i="1" a="1"/>
  <c r="P641" i="1" s="1"/>
  <c r="P642" i="1" a="1"/>
  <c r="P642" i="1" s="1"/>
  <c r="P643" i="1" a="1"/>
  <c r="P643" i="1" s="1"/>
  <c r="P644" i="1" a="1"/>
  <c r="P644" i="1" s="1"/>
  <c r="P645" i="1" a="1"/>
  <c r="P645" i="1" s="1"/>
  <c r="P646" i="1" a="1"/>
  <c r="P646" i="1" s="1"/>
  <c r="P647" i="1" a="1"/>
  <c r="P647" i="1" s="1"/>
  <c r="P648" i="1" a="1"/>
  <c r="P648" i="1" s="1"/>
  <c r="P649" i="1" a="1"/>
  <c r="P649" i="1" s="1"/>
  <c r="P650" i="1" a="1"/>
  <c r="P650" i="1" s="1"/>
  <c r="P651" i="1" a="1"/>
  <c r="P651" i="1" s="1"/>
  <c r="P652" i="1" a="1"/>
  <c r="P652" i="1" s="1"/>
  <c r="P653" i="1" a="1"/>
  <c r="P653" i="1" s="1"/>
  <c r="P654" i="1" a="1"/>
  <c r="P654" i="1" s="1"/>
  <c r="P655" i="1" a="1"/>
  <c r="P655" i="1" s="1"/>
  <c r="P656" i="1" a="1"/>
  <c r="P656" i="1" s="1"/>
  <c r="P657" i="1" a="1"/>
  <c r="P657" i="1" s="1"/>
  <c r="P658" i="1" a="1"/>
  <c r="P658" i="1" s="1"/>
  <c r="P659" i="1" a="1"/>
  <c r="P659" i="1" s="1"/>
  <c r="P660" i="1" a="1"/>
  <c r="P660" i="1" s="1"/>
  <c r="P661" i="1" a="1"/>
  <c r="P661" i="1" s="1"/>
  <c r="P662" i="1" a="1"/>
  <c r="P662" i="1" s="1"/>
  <c r="P663" i="1" a="1"/>
  <c r="P663" i="1" s="1"/>
  <c r="P664" i="1" a="1"/>
  <c r="P664" i="1" s="1"/>
  <c r="P665" i="1" a="1"/>
  <c r="P665" i="1" s="1"/>
  <c r="P666" i="1" a="1"/>
  <c r="P666" i="1" s="1"/>
  <c r="P667" i="1" a="1"/>
  <c r="P667" i="1" s="1"/>
  <c r="P668" i="1" a="1"/>
  <c r="P668" i="1" s="1"/>
  <c r="P669" i="1" a="1"/>
  <c r="P669" i="1" s="1"/>
  <c r="P670" i="1" a="1"/>
  <c r="P670" i="1" s="1"/>
  <c r="P671" i="1" a="1"/>
  <c r="P671" i="1" s="1"/>
  <c r="P672" i="1" a="1"/>
  <c r="P672" i="1" s="1"/>
  <c r="P673" i="1" a="1"/>
  <c r="P673" i="1" s="1"/>
  <c r="P674" i="1" a="1"/>
  <c r="P674" i="1" s="1"/>
  <c r="P675" i="1" a="1"/>
  <c r="P675" i="1" s="1"/>
  <c r="P676" i="1" a="1"/>
  <c r="P676" i="1" s="1"/>
  <c r="P677" i="1" a="1"/>
  <c r="P677" i="1" s="1"/>
  <c r="P678" i="1" a="1"/>
  <c r="P678" i="1" s="1"/>
  <c r="P679" i="1" a="1"/>
  <c r="P679" i="1" s="1"/>
  <c r="P680" i="1" a="1"/>
  <c r="P680" i="1" s="1"/>
  <c r="P681" i="1" a="1"/>
  <c r="P681" i="1" s="1"/>
  <c r="P682" i="1" a="1"/>
  <c r="P682" i="1" s="1"/>
  <c r="P683" i="1" a="1"/>
  <c r="P683" i="1" s="1"/>
  <c r="P684" i="1" a="1"/>
  <c r="P684" i="1" s="1"/>
  <c r="P685" i="1" a="1"/>
  <c r="P685" i="1" s="1"/>
  <c r="P686" i="1" a="1"/>
  <c r="P686" i="1" s="1"/>
  <c r="P687" i="1" a="1"/>
  <c r="P687" i="1" s="1"/>
  <c r="P688" i="1" a="1"/>
  <c r="P688" i="1" s="1"/>
  <c r="P689" i="1" a="1"/>
  <c r="P689" i="1" s="1"/>
  <c r="P690" i="1" a="1"/>
  <c r="P690" i="1" s="1"/>
  <c r="P691" i="1" a="1"/>
  <c r="P691" i="1" s="1"/>
  <c r="P692" i="1" a="1"/>
  <c r="P692" i="1" s="1"/>
  <c r="P693" i="1" a="1"/>
  <c r="P693" i="1" s="1"/>
  <c r="P694" i="1" a="1"/>
  <c r="P694" i="1" s="1"/>
  <c r="P695" i="1" a="1"/>
  <c r="P695" i="1" s="1"/>
  <c r="P696" i="1" a="1"/>
  <c r="P696" i="1" s="1"/>
  <c r="P697" i="1" a="1"/>
  <c r="P697" i="1" s="1"/>
  <c r="P698" i="1" a="1"/>
  <c r="P698" i="1" s="1"/>
  <c r="P699" i="1" a="1"/>
  <c r="P699" i="1" s="1"/>
  <c r="P700" i="1" a="1"/>
  <c r="P700" i="1" s="1"/>
  <c r="P701" i="1" a="1"/>
  <c r="P701" i="1" s="1"/>
  <c r="P702" i="1" a="1"/>
  <c r="P702" i="1" s="1"/>
  <c r="P703" i="1" a="1"/>
  <c r="P703" i="1" s="1"/>
  <c r="P704" i="1" a="1"/>
  <c r="P704" i="1" s="1"/>
  <c r="P705" i="1" a="1"/>
  <c r="P705" i="1" s="1"/>
  <c r="P706" i="1" a="1"/>
  <c r="P706" i="1" s="1"/>
  <c r="P707" i="1" a="1"/>
  <c r="P707" i="1" s="1"/>
  <c r="P708" i="1" a="1"/>
  <c r="P708" i="1" s="1"/>
  <c r="P709" i="1" a="1"/>
  <c r="P709" i="1" s="1"/>
  <c r="P710" i="1" a="1"/>
  <c r="P710" i="1" s="1"/>
  <c r="P711" i="1" a="1"/>
  <c r="P711" i="1" s="1"/>
  <c r="P712" i="1" a="1"/>
  <c r="P712" i="1" s="1"/>
  <c r="P713" i="1" a="1"/>
  <c r="P713" i="1" s="1"/>
  <c r="P714" i="1" a="1"/>
  <c r="P714" i="1" s="1"/>
  <c r="P715" i="1" a="1"/>
  <c r="P715" i="1" s="1"/>
  <c r="P716" i="1" a="1"/>
  <c r="P716" i="1" s="1"/>
  <c r="P717" i="1" a="1"/>
  <c r="P717" i="1" s="1"/>
  <c r="P718" i="1" a="1"/>
  <c r="P718" i="1" s="1"/>
  <c r="P719" i="1" a="1"/>
  <c r="P719" i="1" s="1"/>
  <c r="P720" i="1" a="1"/>
  <c r="P720" i="1" s="1"/>
  <c r="P721" i="1" a="1"/>
  <c r="P721" i="1" s="1"/>
  <c r="P722" i="1" a="1"/>
  <c r="P722" i="1" s="1"/>
  <c r="P723" i="1" a="1"/>
  <c r="P723" i="1" s="1"/>
  <c r="P724" i="1" a="1"/>
  <c r="P724" i="1" s="1"/>
  <c r="P725" i="1" a="1"/>
  <c r="P725" i="1" s="1"/>
  <c r="P726" i="1" a="1"/>
  <c r="P726" i="1" s="1"/>
  <c r="P727" i="1" a="1"/>
  <c r="P727" i="1" s="1"/>
  <c r="P728" i="1" a="1"/>
  <c r="P728" i="1" s="1"/>
  <c r="P729" i="1" a="1"/>
  <c r="P729" i="1" s="1"/>
  <c r="P730" i="1" a="1"/>
  <c r="P730" i="1" s="1"/>
  <c r="P731" i="1" a="1"/>
  <c r="P731" i="1" s="1"/>
  <c r="P732" i="1" a="1"/>
  <c r="P732" i="1" s="1"/>
  <c r="P733" i="1" a="1"/>
  <c r="P733" i="1" s="1"/>
  <c r="P734" i="1" a="1"/>
  <c r="P734" i="1" s="1"/>
  <c r="P735" i="1" a="1"/>
  <c r="P735" i="1" s="1"/>
  <c r="P736" i="1" a="1"/>
  <c r="P736" i="1" s="1"/>
  <c r="P737" i="1" a="1"/>
  <c r="P737" i="1" s="1"/>
  <c r="P738" i="1" a="1"/>
  <c r="P738" i="1" s="1"/>
  <c r="P739" i="1" a="1"/>
  <c r="P739" i="1" s="1"/>
  <c r="P740" i="1" a="1"/>
  <c r="P740" i="1" s="1"/>
  <c r="P741" i="1" a="1"/>
  <c r="P741" i="1" s="1"/>
  <c r="P742" i="1" a="1"/>
  <c r="P742" i="1" s="1"/>
  <c r="P743" i="1" a="1"/>
  <c r="P743" i="1" s="1"/>
  <c r="P744" i="1" a="1"/>
  <c r="P744" i="1" s="1"/>
  <c r="P745" i="1" a="1"/>
  <c r="P745" i="1" s="1"/>
  <c r="P746" i="1" a="1"/>
  <c r="P746" i="1" s="1"/>
  <c r="P747" i="1" a="1"/>
  <c r="P747" i="1" s="1"/>
  <c r="P748" i="1" a="1"/>
  <c r="P748" i="1" s="1"/>
  <c r="P749" i="1" a="1"/>
  <c r="P749" i="1" s="1"/>
  <c r="P750" i="1" a="1"/>
  <c r="P750" i="1" s="1"/>
  <c r="P751" i="1" a="1"/>
  <c r="P751" i="1" s="1"/>
  <c r="P752" i="1" a="1"/>
  <c r="P752" i="1" s="1"/>
  <c r="P753" i="1" a="1"/>
  <c r="P753" i="1" s="1"/>
  <c r="P754" i="1" a="1"/>
  <c r="P754" i="1" s="1"/>
  <c r="P755" i="1" a="1"/>
  <c r="P755" i="1" s="1"/>
  <c r="P756" i="1" a="1"/>
  <c r="P756" i="1" s="1"/>
  <c r="P757" i="1" a="1"/>
  <c r="P757" i="1" s="1"/>
  <c r="P758" i="1" a="1"/>
  <c r="P758" i="1" s="1"/>
  <c r="P759" i="1" a="1"/>
  <c r="P759" i="1" s="1"/>
  <c r="P760" i="1" a="1"/>
  <c r="P760" i="1" s="1"/>
  <c r="P761" i="1" a="1"/>
  <c r="P761" i="1" s="1"/>
  <c r="P762" i="1" a="1"/>
  <c r="P762" i="1" s="1"/>
  <c r="P763" i="1" a="1"/>
  <c r="P763" i="1" s="1"/>
  <c r="P764" i="1" a="1"/>
  <c r="P764" i="1" s="1"/>
  <c r="P765" i="1" a="1"/>
  <c r="P765" i="1" s="1"/>
  <c r="P766" i="1" a="1"/>
  <c r="P766" i="1" s="1"/>
  <c r="P767" i="1" a="1"/>
  <c r="P767" i="1" s="1"/>
  <c r="P768" i="1" a="1"/>
  <c r="P768" i="1" s="1"/>
  <c r="P769" i="1" a="1"/>
  <c r="P769" i="1" s="1"/>
  <c r="P770" i="1" a="1"/>
  <c r="P770" i="1" s="1"/>
  <c r="P771" i="1" a="1"/>
  <c r="P771" i="1" s="1"/>
  <c r="P772" i="1" a="1"/>
  <c r="P772" i="1" s="1"/>
  <c r="P773" i="1" a="1"/>
  <c r="P773" i="1" s="1"/>
  <c r="P774" i="1" a="1"/>
  <c r="P774" i="1" s="1"/>
  <c r="P775" i="1" a="1"/>
  <c r="P775" i="1" s="1"/>
  <c r="P776" i="1" a="1"/>
  <c r="P776" i="1" s="1"/>
  <c r="P777" i="1" a="1"/>
  <c r="P777" i="1" s="1"/>
  <c r="P778" i="1" a="1"/>
  <c r="P778" i="1" s="1"/>
  <c r="P779" i="1" a="1"/>
  <c r="P779" i="1" s="1"/>
  <c r="P780" i="1" a="1"/>
  <c r="P780" i="1" s="1"/>
  <c r="P781" i="1" a="1"/>
  <c r="P781" i="1" s="1"/>
  <c r="P782" i="1" a="1"/>
  <c r="P782" i="1" s="1"/>
  <c r="P783" i="1" a="1"/>
  <c r="P783" i="1" s="1"/>
  <c r="P784" i="1" a="1"/>
  <c r="P784" i="1" s="1"/>
  <c r="P785" i="1" a="1"/>
  <c r="P785" i="1" s="1"/>
  <c r="P786" i="1" a="1"/>
  <c r="P786" i="1" s="1"/>
  <c r="P787" i="1" a="1"/>
  <c r="P787" i="1" s="1"/>
  <c r="P788" i="1" a="1"/>
  <c r="P788" i="1" s="1"/>
  <c r="P789" i="1" a="1"/>
  <c r="P789" i="1" s="1"/>
  <c r="P790" i="1" a="1"/>
  <c r="P790" i="1" s="1"/>
  <c r="P791" i="1" a="1"/>
  <c r="P791" i="1" s="1"/>
  <c r="P792" i="1" a="1"/>
  <c r="P792" i="1" s="1"/>
  <c r="P793" i="1" a="1"/>
  <c r="P793" i="1" s="1"/>
  <c r="P794" i="1" a="1"/>
  <c r="P794" i="1" s="1"/>
  <c r="P795" i="1" a="1"/>
  <c r="P795" i="1" s="1"/>
  <c r="P796" i="1" a="1"/>
  <c r="P796" i="1" s="1"/>
  <c r="P797" i="1" a="1"/>
  <c r="P797" i="1" s="1"/>
  <c r="P798" i="1" a="1"/>
  <c r="P798" i="1" s="1"/>
  <c r="P799" i="1" a="1"/>
  <c r="P799" i="1" s="1"/>
  <c r="P800" i="1" a="1"/>
  <c r="P800" i="1" s="1"/>
  <c r="P801" i="1" a="1"/>
  <c r="P801" i="1" s="1"/>
  <c r="P802" i="1" a="1"/>
  <c r="P802" i="1" s="1"/>
  <c r="P803" i="1" a="1"/>
  <c r="P803" i="1" s="1"/>
  <c r="P804" i="1" a="1"/>
  <c r="P804" i="1" s="1"/>
  <c r="P805" i="1" a="1"/>
  <c r="P805" i="1" s="1"/>
  <c r="P806" i="1" a="1"/>
  <c r="P806" i="1" s="1"/>
  <c r="P807" i="1" a="1"/>
  <c r="P807" i="1" s="1"/>
  <c r="P808" i="1" a="1"/>
  <c r="P808" i="1" s="1"/>
  <c r="P809" i="1" a="1"/>
  <c r="P809" i="1" s="1"/>
  <c r="P810" i="1" a="1"/>
  <c r="P810" i="1" s="1"/>
  <c r="P811" i="1" a="1"/>
  <c r="P811" i="1" s="1"/>
  <c r="P812" i="1" a="1"/>
  <c r="P812" i="1" s="1"/>
  <c r="P813" i="1" a="1"/>
  <c r="P813" i="1" s="1"/>
  <c r="P814" i="1" a="1"/>
  <c r="P814" i="1" s="1"/>
  <c r="P815" i="1" a="1"/>
  <c r="P815" i="1" s="1"/>
  <c r="P816" i="1" a="1"/>
  <c r="P816" i="1" s="1"/>
  <c r="P817" i="1" a="1"/>
  <c r="P817" i="1" s="1"/>
  <c r="P818" i="1" a="1"/>
  <c r="P818" i="1" s="1"/>
  <c r="P819" i="1" a="1"/>
  <c r="P819" i="1" s="1"/>
  <c r="P820" i="1" a="1"/>
  <c r="P820" i="1" s="1"/>
  <c r="P821" i="1" a="1"/>
  <c r="P821" i="1" s="1"/>
  <c r="P822" i="1" a="1"/>
  <c r="P822" i="1" s="1"/>
  <c r="P823" i="1" a="1"/>
  <c r="P823" i="1" s="1"/>
  <c r="P824" i="1" a="1"/>
  <c r="P824" i="1" s="1"/>
  <c r="P825" i="1" a="1"/>
  <c r="P825" i="1" s="1"/>
  <c r="P826" i="1" a="1"/>
  <c r="P826" i="1" s="1"/>
  <c r="P827" i="1" a="1"/>
  <c r="P827" i="1" s="1"/>
  <c r="P828" i="1" a="1"/>
  <c r="P828" i="1" s="1"/>
  <c r="P829" i="1" a="1"/>
  <c r="P829" i="1" s="1"/>
  <c r="P830" i="1" a="1"/>
  <c r="P830" i="1" s="1"/>
  <c r="P831" i="1" a="1"/>
  <c r="P831" i="1" s="1"/>
  <c r="P832" i="1" a="1"/>
  <c r="P832" i="1" s="1"/>
  <c r="P833" i="1" a="1"/>
  <c r="P833" i="1" s="1"/>
  <c r="P834" i="1" a="1"/>
  <c r="P834" i="1" s="1"/>
  <c r="P835" i="1" a="1"/>
  <c r="P835" i="1" s="1"/>
  <c r="P836" i="1" a="1"/>
  <c r="P836" i="1" s="1"/>
  <c r="P837" i="1" a="1"/>
  <c r="P837" i="1" s="1"/>
  <c r="P838" i="1" a="1"/>
  <c r="P838" i="1" s="1"/>
  <c r="P839" i="1" a="1"/>
  <c r="P839" i="1" s="1"/>
  <c r="P840" i="1" a="1"/>
  <c r="P840" i="1" s="1"/>
  <c r="P841" i="1" a="1"/>
  <c r="P841" i="1" s="1"/>
  <c r="P842" i="1" a="1"/>
  <c r="P842" i="1" s="1"/>
  <c r="P843" i="1" a="1"/>
  <c r="P843" i="1" s="1"/>
  <c r="P844" i="1" a="1"/>
  <c r="P844" i="1" s="1"/>
  <c r="P845" i="1" a="1"/>
  <c r="P845" i="1" s="1"/>
  <c r="P846" i="1" a="1"/>
  <c r="P846" i="1" s="1"/>
  <c r="P847" i="1" a="1"/>
  <c r="P847" i="1" s="1"/>
  <c r="P848" i="1" a="1"/>
  <c r="P848" i="1" s="1"/>
  <c r="P849" i="1" a="1"/>
  <c r="P849" i="1" s="1"/>
  <c r="P850" i="1" a="1"/>
  <c r="P850" i="1" s="1"/>
  <c r="P851" i="1" a="1"/>
  <c r="P851" i="1" s="1"/>
  <c r="P852" i="1" a="1"/>
  <c r="P852" i="1" s="1"/>
  <c r="P853" i="1" a="1"/>
  <c r="P853" i="1" s="1"/>
  <c r="P854" i="1" a="1"/>
  <c r="P854" i="1" s="1"/>
  <c r="P855" i="1" a="1"/>
  <c r="P855" i="1" s="1"/>
  <c r="P856" i="1" a="1"/>
  <c r="P856" i="1" s="1"/>
  <c r="P857" i="1" a="1"/>
  <c r="P857" i="1" s="1"/>
  <c r="P858" i="1" a="1"/>
  <c r="P858" i="1" s="1"/>
  <c r="P859" i="1" a="1"/>
  <c r="P859" i="1" s="1"/>
  <c r="P860" i="1" a="1"/>
  <c r="P860" i="1" s="1"/>
  <c r="P861" i="1" a="1"/>
  <c r="P861" i="1" s="1"/>
  <c r="P862" i="1" a="1"/>
  <c r="P862" i="1" s="1"/>
  <c r="P863" i="1" a="1"/>
  <c r="P863" i="1" s="1"/>
  <c r="P864" i="1" a="1"/>
  <c r="P864" i="1" s="1"/>
  <c r="P865" i="1" a="1"/>
  <c r="P865" i="1" s="1"/>
  <c r="P866" i="1" a="1"/>
  <c r="P866" i="1" s="1"/>
  <c r="P867" i="1" a="1"/>
  <c r="P867" i="1" s="1"/>
  <c r="P868" i="1" a="1"/>
  <c r="P868" i="1" s="1"/>
  <c r="P869" i="1" a="1"/>
  <c r="P869" i="1" s="1"/>
  <c r="P870" i="1" a="1"/>
  <c r="P870" i="1" s="1"/>
  <c r="P871" i="1" a="1"/>
  <c r="P871" i="1" s="1"/>
  <c r="P872" i="1" a="1"/>
  <c r="P872" i="1" s="1"/>
  <c r="P873" i="1" a="1"/>
  <c r="P873" i="1" s="1"/>
  <c r="P874" i="1" a="1"/>
  <c r="P874" i="1" s="1"/>
  <c r="P875" i="1" a="1"/>
  <c r="P875" i="1" s="1"/>
  <c r="P876" i="1" a="1"/>
  <c r="P876" i="1" s="1"/>
  <c r="P877" i="1" a="1"/>
  <c r="P877" i="1" s="1"/>
  <c r="P878" i="1" a="1"/>
  <c r="P878" i="1" s="1"/>
  <c r="P879" i="1" a="1"/>
  <c r="P879" i="1" s="1"/>
  <c r="P880" i="1" a="1"/>
  <c r="P880" i="1" s="1"/>
  <c r="P881" i="1" a="1"/>
  <c r="P881" i="1" s="1"/>
  <c r="P882" i="1" a="1"/>
  <c r="P882" i="1" s="1"/>
  <c r="P883" i="1" a="1"/>
  <c r="P883" i="1" s="1"/>
  <c r="P884" i="1" a="1"/>
  <c r="P884" i="1" s="1"/>
  <c r="P885" i="1" a="1"/>
  <c r="P885" i="1" s="1"/>
  <c r="P886" i="1" a="1"/>
  <c r="P886" i="1" s="1"/>
  <c r="P887" i="1" a="1"/>
  <c r="P887" i="1" s="1"/>
  <c r="P888" i="1" a="1"/>
  <c r="P888" i="1" s="1"/>
  <c r="P889" i="1" a="1"/>
  <c r="P889" i="1" s="1"/>
  <c r="P890" i="1" a="1"/>
  <c r="P890" i="1" s="1"/>
  <c r="P891" i="1" a="1"/>
  <c r="P891" i="1" s="1"/>
  <c r="P892" i="1" a="1"/>
  <c r="P892" i="1" s="1"/>
  <c r="P893" i="1" a="1"/>
  <c r="P893" i="1" s="1"/>
  <c r="P894" i="1" a="1"/>
  <c r="P894" i="1" s="1"/>
  <c r="P895" i="1" a="1"/>
  <c r="P895" i="1" s="1"/>
  <c r="P896" i="1" a="1"/>
  <c r="P896" i="1" s="1"/>
  <c r="P897" i="1" a="1"/>
  <c r="P897" i="1" s="1"/>
  <c r="P898" i="1" a="1"/>
  <c r="P898" i="1" s="1"/>
  <c r="P899" i="1" a="1"/>
  <c r="P899" i="1" s="1"/>
  <c r="P900" i="1" a="1"/>
  <c r="P900" i="1" s="1"/>
  <c r="P901" i="1" a="1"/>
  <c r="P901" i="1" s="1"/>
  <c r="P902" i="1" a="1"/>
  <c r="P902" i="1" s="1"/>
  <c r="P903" i="1" a="1"/>
  <c r="P903" i="1" s="1"/>
  <c r="P904" i="1" a="1"/>
  <c r="P904" i="1" s="1"/>
  <c r="P905" i="1" a="1"/>
  <c r="P905" i="1" s="1"/>
  <c r="P906" i="1" a="1"/>
  <c r="P906" i="1" s="1"/>
  <c r="P907" i="1" a="1"/>
  <c r="P907" i="1" s="1"/>
  <c r="P908" i="1" a="1"/>
  <c r="P908" i="1" s="1"/>
  <c r="P909" i="1" a="1"/>
  <c r="P909" i="1" s="1"/>
  <c r="P910" i="1" a="1"/>
  <c r="P910" i="1" s="1"/>
  <c r="P911" i="1" a="1"/>
  <c r="P911" i="1" s="1"/>
  <c r="P912" i="1" a="1"/>
  <c r="P912" i="1" s="1"/>
  <c r="P913" i="1" a="1"/>
  <c r="P913" i="1" s="1"/>
  <c r="P914" i="1" a="1"/>
  <c r="P914" i="1" s="1"/>
  <c r="P915" i="1" a="1"/>
  <c r="P915" i="1" s="1"/>
  <c r="P916" i="1" a="1"/>
  <c r="P916" i="1" s="1"/>
  <c r="P917" i="1" a="1"/>
  <c r="P917" i="1" s="1"/>
  <c r="P918" i="1" a="1"/>
  <c r="P918" i="1" s="1"/>
  <c r="P919" i="1" a="1"/>
  <c r="P919" i="1" s="1"/>
  <c r="P920" i="1" a="1"/>
  <c r="P920" i="1" s="1"/>
  <c r="P921" i="1" a="1"/>
  <c r="P921" i="1" s="1"/>
  <c r="P922" i="1" a="1"/>
  <c r="P922" i="1" s="1"/>
  <c r="P923" i="1" a="1"/>
  <c r="P923" i="1" s="1"/>
  <c r="P924" i="1" a="1"/>
  <c r="P924" i="1" s="1"/>
  <c r="P925" i="1" a="1"/>
  <c r="P925" i="1" s="1"/>
  <c r="P926" i="1" a="1"/>
  <c r="P926" i="1" s="1"/>
  <c r="P927" i="1" a="1"/>
  <c r="P927" i="1" s="1"/>
  <c r="P928" i="1" a="1"/>
  <c r="P928" i="1" s="1"/>
  <c r="P929" i="1" a="1"/>
  <c r="P929" i="1" s="1"/>
  <c r="P930" i="1" a="1"/>
  <c r="P930" i="1" s="1"/>
  <c r="P931" i="1" a="1"/>
  <c r="P931" i="1" s="1"/>
  <c r="P932" i="1" a="1"/>
  <c r="P932" i="1" s="1"/>
  <c r="P933" i="1" a="1"/>
  <c r="P933" i="1" s="1"/>
  <c r="P934" i="1" a="1"/>
  <c r="P934" i="1" s="1"/>
  <c r="P935" i="1" a="1"/>
  <c r="P935" i="1" s="1"/>
  <c r="P936" i="1" a="1"/>
  <c r="P936" i="1" s="1"/>
  <c r="P937" i="1" a="1"/>
  <c r="P937" i="1" s="1"/>
  <c r="P938" i="1" a="1"/>
  <c r="P938" i="1" s="1"/>
  <c r="P939" i="1" a="1"/>
  <c r="P939" i="1" s="1"/>
  <c r="P940" i="1" a="1"/>
  <c r="P940" i="1" s="1"/>
  <c r="P941" i="1" a="1"/>
  <c r="P941" i="1" s="1"/>
  <c r="P942" i="1" a="1"/>
  <c r="P942" i="1" s="1"/>
  <c r="P943" i="1" a="1"/>
  <c r="P943" i="1" s="1"/>
  <c r="P944" i="1" a="1"/>
  <c r="P944" i="1" s="1"/>
  <c r="P945" i="1" a="1"/>
  <c r="P945" i="1" s="1"/>
  <c r="P946" i="1" a="1"/>
  <c r="P946" i="1" s="1"/>
  <c r="P947" i="1" a="1"/>
  <c r="P947" i="1" s="1"/>
  <c r="P948" i="1" a="1"/>
  <c r="P948" i="1" s="1"/>
  <c r="P949" i="1" a="1"/>
  <c r="P949" i="1" s="1"/>
  <c r="P950" i="1" a="1"/>
  <c r="P950" i="1" s="1"/>
  <c r="P951" i="1" a="1"/>
  <c r="P951" i="1" s="1"/>
  <c r="P952" i="1" a="1"/>
  <c r="P952" i="1" s="1"/>
  <c r="P953" i="1" a="1"/>
  <c r="P953" i="1" s="1"/>
  <c r="P954" i="1" a="1"/>
  <c r="P954" i="1" s="1"/>
  <c r="P955" i="1" a="1"/>
  <c r="P955" i="1" s="1"/>
  <c r="P956" i="1" a="1"/>
  <c r="P956" i="1" s="1"/>
  <c r="P957" i="1" a="1"/>
  <c r="P957" i="1" s="1"/>
  <c r="P958" i="1" a="1"/>
  <c r="P958" i="1" s="1"/>
  <c r="P959" i="1" a="1"/>
  <c r="P959" i="1" s="1"/>
  <c r="P960" i="1" a="1"/>
  <c r="P960" i="1" s="1"/>
  <c r="P961" i="1" a="1"/>
  <c r="P961" i="1" s="1"/>
  <c r="P962" i="1" a="1"/>
  <c r="P962" i="1" s="1"/>
  <c r="P963" i="1" a="1"/>
  <c r="P963" i="1" s="1"/>
  <c r="P964" i="1" a="1"/>
  <c r="P964" i="1" s="1"/>
  <c r="P965" i="1" a="1"/>
  <c r="P965" i="1" s="1"/>
  <c r="P966" i="1" a="1"/>
  <c r="P966" i="1" s="1"/>
  <c r="P967" i="1" a="1"/>
  <c r="P967" i="1" s="1"/>
  <c r="P968" i="1" a="1"/>
  <c r="P968" i="1" s="1"/>
  <c r="P969" i="1" a="1"/>
  <c r="P969" i="1" s="1"/>
  <c r="P970" i="1" a="1"/>
  <c r="P970" i="1" s="1"/>
  <c r="P971" i="1" a="1"/>
  <c r="P971" i="1" s="1"/>
  <c r="P972" i="1" a="1"/>
  <c r="P972" i="1" s="1"/>
  <c r="P973" i="1" a="1"/>
  <c r="P973" i="1" s="1"/>
  <c r="P974" i="1" a="1"/>
  <c r="P974" i="1" s="1"/>
  <c r="P975" i="1" a="1"/>
  <c r="P975" i="1" s="1"/>
  <c r="P976" i="1" a="1"/>
  <c r="P976" i="1" s="1"/>
  <c r="P977" i="1" a="1"/>
  <c r="P977" i="1" s="1"/>
  <c r="P978" i="1" a="1"/>
  <c r="P978" i="1" s="1"/>
  <c r="P979" i="1" a="1"/>
  <c r="P979" i="1" s="1"/>
  <c r="P980" i="1" a="1"/>
  <c r="P980" i="1" s="1"/>
  <c r="P981" i="1" a="1"/>
  <c r="P981" i="1" s="1"/>
  <c r="P982" i="1" a="1"/>
  <c r="P982" i="1" s="1"/>
  <c r="P983" i="1" a="1"/>
  <c r="P983" i="1" s="1"/>
  <c r="P984" i="1" a="1"/>
  <c r="P984" i="1" s="1"/>
  <c r="P985" i="1" a="1"/>
  <c r="P985" i="1" s="1"/>
  <c r="P986" i="1" a="1"/>
  <c r="P986" i="1" s="1"/>
  <c r="P987" i="1" a="1"/>
  <c r="P987" i="1" s="1"/>
  <c r="P988" i="1" a="1"/>
  <c r="P988" i="1" s="1"/>
  <c r="P989" i="1" a="1"/>
  <c r="P989" i="1" s="1"/>
  <c r="P990" i="1" a="1"/>
  <c r="P990" i="1" s="1"/>
  <c r="P991" i="1" a="1"/>
  <c r="P991" i="1" s="1"/>
  <c r="P992" i="1" a="1"/>
  <c r="P992" i="1" s="1"/>
  <c r="P993" i="1" a="1"/>
  <c r="P993" i="1" s="1"/>
  <c r="P994" i="1" a="1"/>
  <c r="P994" i="1" s="1"/>
  <c r="P995" i="1" a="1"/>
  <c r="P995" i="1" s="1"/>
  <c r="P996" i="1" a="1"/>
  <c r="P996" i="1" s="1"/>
  <c r="P997" i="1" a="1"/>
  <c r="P997" i="1" s="1"/>
  <c r="P998" i="1" a="1"/>
  <c r="P998" i="1" s="1"/>
  <c r="P999" i="1" a="1"/>
  <c r="P999" i="1" s="1"/>
  <c r="P1000" i="1" a="1"/>
  <c r="P1000" i="1" s="1"/>
  <c r="P1001" i="1" a="1"/>
  <c r="P1001" i="1" s="1"/>
  <c r="E7" i="5" l="1"/>
  <c r="I2" i="5"/>
  <c r="E4" i="5"/>
  <c r="E5" i="5"/>
  <c r="E6" i="5"/>
  <c r="E3" i="5"/>
  <c r="E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State/UT is simulated for dashboard practice; the original uploaded dataset does not contain real Indian state locations.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Currency is not specified in the original dataset. Do not label this as ₹ unless verified.</t>
        </r>
      </text>
    </comment>
    <comment ref="G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Payment channel is simulated for dashboard practice; not in the original source dataset.</t>
        </r>
      </text>
    </comment>
    <comment ref="H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Transaction type is simulated for dashboard practice; not in the original source dataset.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<sst xmlns="http://schemas.openxmlformats.org/spreadsheetml/2006/main" count="7113" uniqueCount="130">
  <si>
    <t>transaction_id</t>
  </si>
  <si>
    <t>state</t>
  </si>
  <si>
    <t>region</t>
  </si>
  <si>
    <t>amount</t>
  </si>
  <si>
    <t>transaction_hour</t>
  </si>
  <si>
    <t>merchant_category</t>
  </si>
  <si>
    <t>payment_channel</t>
  </si>
  <si>
    <t>transaction_type</t>
  </si>
  <si>
    <t>device_type</t>
  </si>
  <si>
    <t>foreign_transaction</t>
  </si>
  <si>
    <t>location_mismatch</t>
  </si>
  <si>
    <t>device_trust_score</t>
  </si>
  <si>
    <t>velocity_last_24h</t>
  </si>
  <si>
    <t>is_fraud</t>
  </si>
  <si>
    <t>fraud_status</t>
  </si>
  <si>
    <t>Karnataka</t>
  </si>
  <si>
    <t>South</t>
  </si>
  <si>
    <t>Electronics</t>
  </si>
  <si>
    <t>Debit Card</t>
  </si>
  <si>
    <t>Travel</t>
  </si>
  <si>
    <t>Android</t>
  </si>
  <si>
    <t>Not Fraud</t>
  </si>
  <si>
    <t>Odisha</t>
  </si>
  <si>
    <t>East</t>
  </si>
  <si>
    <t>UPI</t>
  </si>
  <si>
    <t>Other</t>
  </si>
  <si>
    <t>iOS</t>
  </si>
  <si>
    <t>Rajasthan</t>
  </si>
  <si>
    <t>North</t>
  </si>
  <si>
    <t>Clothing</t>
  </si>
  <si>
    <t>Entertainment</t>
  </si>
  <si>
    <t>Windows</t>
  </si>
  <si>
    <t>Maharashtra</t>
  </si>
  <si>
    <t>West</t>
  </si>
  <si>
    <t>Grocery</t>
  </si>
  <si>
    <t>Online Shopping</t>
  </si>
  <si>
    <t>Fraud</t>
  </si>
  <si>
    <t>Tamil Nadu</t>
  </si>
  <si>
    <t>Net Banking</t>
  </si>
  <si>
    <t>Haryana</t>
  </si>
  <si>
    <t>Gujarat</t>
  </si>
  <si>
    <t>Bill Payment</t>
  </si>
  <si>
    <t>Nagaland</t>
  </si>
  <si>
    <t>Northeast</t>
  </si>
  <si>
    <t>Credit Card</t>
  </si>
  <si>
    <t>Uttar Pradesh</t>
  </si>
  <si>
    <t>Bihar</t>
  </si>
  <si>
    <t>Telangana</t>
  </si>
  <si>
    <t>Food &amp; Grocery</t>
  </si>
  <si>
    <t>Andhra Pradesh</t>
  </si>
  <si>
    <t>Food</t>
  </si>
  <si>
    <t>Chhattisgarh</t>
  </si>
  <si>
    <t>Central</t>
  </si>
  <si>
    <t>Wallet</t>
  </si>
  <si>
    <t>Delhi</t>
  </si>
  <si>
    <t>Chandigarh</t>
  </si>
  <si>
    <t>Madhya Pradesh</t>
  </si>
  <si>
    <t>Assam</t>
  </si>
  <si>
    <t>Manipur</t>
  </si>
  <si>
    <t>Kerala</t>
  </si>
  <si>
    <t>West Bengal</t>
  </si>
  <si>
    <t>Uttarakhand</t>
  </si>
  <si>
    <t>Meghalaya</t>
  </si>
  <si>
    <t>Punjab</t>
  </si>
  <si>
    <t>Jharkhand</t>
  </si>
  <si>
    <t>Puducherry</t>
  </si>
  <si>
    <t>Arunachal Pradesh</t>
  </si>
  <si>
    <t>Jammu and Kashmir</t>
  </si>
  <si>
    <t>Sikkim</t>
  </si>
  <si>
    <t>Dadra and Nagar Haveli and Daman and Diu</t>
  </si>
  <si>
    <t>Ladakh</t>
  </si>
  <si>
    <t>Goa</t>
  </si>
  <si>
    <t>Andaman and Nicobar Islands</t>
  </si>
  <si>
    <t>Tripura</t>
  </si>
  <si>
    <t>Himachal Pradesh</t>
  </si>
  <si>
    <t>Lakshadweep</t>
  </si>
  <si>
    <t>Mizoram</t>
  </si>
  <si>
    <t>Column</t>
  </si>
  <si>
    <t>Meaning / Notes</t>
  </si>
  <si>
    <t>Unique transaction identifier from source data.</t>
  </si>
  <si>
    <t>Illustrative Indian state/UT assigned for map practice; not actual transaction location.</t>
  </si>
  <si>
    <t>Region corresponding to the illustrative state/UT.</t>
  </si>
  <si>
    <t>Transaction amount from source data; currency not specified.</t>
  </si>
  <si>
    <t>Hour of day recorded in the source data.</t>
  </si>
  <si>
    <t>Merchant category from source data.</t>
  </si>
  <si>
    <t>Illustrative payment channel added for practice; not source data.</t>
  </si>
  <si>
    <t>Illustrative transaction type added for practice; not source data.</t>
  </si>
  <si>
    <t>Illustrative device type added for practice; not source data.</t>
  </si>
  <si>
    <t>Source indicator: 1 = yes, 0 = no.</t>
  </si>
  <si>
    <t>Source indicator: 1 = mismatch, 0 = no mismatch.</t>
  </si>
  <si>
    <t>Device trust score from source data.</t>
  </si>
  <si>
    <t>Transaction activity metric from source data.</t>
  </si>
  <si>
    <t>Target label: 1 = fraud, 0 = not fraud.</t>
  </si>
  <si>
    <t>Readable version of the fraud label.</t>
  </si>
  <si>
    <t>IMPORTANT DATA NOTES</t>
  </si>
  <si>
    <t>• Dataset contains 1,000 transactions: 151 fraud and 849 non-fraud.</t>
  </si>
  <si>
    <t>• The original uploaded dataset had 10,000 records and a fraud rate of 1.51%.</t>
  </si>
  <si>
    <t>• This compact sample keeps every fraud record and samples non-fraud records, so its fraud rate (15.10%) is not representative of the original dataset.</t>
  </si>
  <si>
    <t>• Indian state/UT, region, payment channel, transaction type, and device type fields were added as simulated practice data because the source dataset did not contain these fields.</t>
  </si>
  <si>
    <t>• Do not present state-level summaries as real Indian bank fraud statistics.</t>
  </si>
  <si>
    <t>• This workbook contains data only—no dashboard—so you can build the dashboard yourself step by step.</t>
  </si>
  <si>
    <t>• Currency is not specified by the source; keep the field named amount unless you verify the currency.</t>
  </si>
  <si>
    <t>Total Transactions</t>
  </si>
  <si>
    <t>Fraud Transactions</t>
  </si>
  <si>
    <t>Fraud Rate</t>
  </si>
  <si>
    <t>Transaction Status</t>
  </si>
  <si>
    <t>Count</t>
  </si>
  <si>
    <t>Non-Fraud</t>
  </si>
  <si>
    <t xml:space="preserve"> </t>
  </si>
  <si>
    <t>State</t>
  </si>
  <si>
    <t>Transaction Type</t>
  </si>
  <si>
    <t>amount_range</t>
  </si>
  <si>
    <t>Amount Range</t>
  </si>
  <si>
    <t>Below 500</t>
  </si>
  <si>
    <t>500-999</t>
  </si>
  <si>
    <t>1000-4999</t>
  </si>
  <si>
    <t>5000-9999</t>
  </si>
  <si>
    <t>10000+</t>
  </si>
  <si>
    <t>India|Fraud Analytics Dashboard</t>
  </si>
  <si>
    <t>Flagged Amount</t>
  </si>
  <si>
    <r>
      <rPr>
        <b/>
        <sz val="36"/>
        <color theme="0"/>
        <rFont val="Calibri"/>
        <family val="2"/>
        <scheme val="minor"/>
      </rPr>
      <t>CREDIT CARD</t>
    </r>
    <r>
      <rPr>
        <b/>
        <sz val="36"/>
        <color rgb="FF0070C0"/>
        <rFont val="Calibri"/>
        <family val="2"/>
        <scheme val="minor"/>
      </rPr>
      <t xml:space="preserve"> FRAUD DETECTION IN INDIA</t>
    </r>
  </si>
  <si>
    <t>KEY INSIGHTS</t>
  </si>
  <si>
    <r>
      <rPr>
        <sz val="72"/>
        <color rgb="FFFF0000"/>
        <rFont val="Calibri"/>
        <family val="2"/>
        <scheme val="minor"/>
      </rPr>
      <t>.</t>
    </r>
    <r>
      <rPr>
        <sz val="16"/>
        <color theme="0"/>
        <rFont val="Calibri"/>
        <family val="2"/>
        <scheme val="minor"/>
      </rPr>
      <t xml:space="preserve">Highest Fraud Rate: Entertainment has the highest fraud rate at 24.0%.   </t>
    </r>
  </si>
  <si>
    <r>
      <rPr>
        <sz val="72"/>
        <color rgb="FFFF0000"/>
        <rFont val="Calibri"/>
        <family val="2"/>
        <scheme val="minor"/>
      </rPr>
      <t>.</t>
    </r>
    <r>
      <rPr>
        <sz val="16"/>
        <color theme="0"/>
        <rFont val="Calibri"/>
        <family val="2"/>
        <scheme val="minor"/>
      </rPr>
      <t xml:space="preserve">Lowest Fraud Rate: Travel has the lowest fraud rate at 12.5%.  </t>
    </r>
  </si>
  <si>
    <r>
      <rPr>
        <sz val="72"/>
        <color rgb="FFFF0000"/>
        <rFont val="Calibri"/>
        <family val="2"/>
        <scheme val="minor"/>
      </rPr>
      <t>.</t>
    </r>
    <r>
      <rPr>
        <sz val="16"/>
        <color theme="0"/>
        <rFont val="Calibri"/>
        <family val="2"/>
        <scheme val="minor"/>
      </rPr>
      <t xml:space="preserve">Highest Fraud Count: Online Shopping records the highest number of fraud transactions, with 41 cases.  </t>
    </r>
  </si>
  <si>
    <r>
      <rPr>
        <sz val="72"/>
        <color rgb="FFFF0000"/>
        <rFont val="Calibri"/>
        <family val="2"/>
        <scheme val="minor"/>
      </rPr>
      <t>.</t>
    </r>
    <r>
      <rPr>
        <sz val="16"/>
        <color theme="0"/>
        <rFont val="Calibri"/>
        <family val="2"/>
        <scheme val="minor"/>
      </rPr>
      <t xml:space="preserve">Overall Fraud Rate: 151 out of 1,000 transactions are flagged as fraudulent, representing 15.1% of the practice sample.  </t>
    </r>
  </si>
  <si>
    <r>
      <rPr>
        <sz val="72"/>
        <color rgb="FFFF0000"/>
        <rFont val="Calibri"/>
        <family val="2"/>
        <scheme val="minor"/>
      </rPr>
      <t>.</t>
    </r>
    <r>
      <rPr>
        <sz val="16"/>
        <color theme="0"/>
        <rFont val="Calibri"/>
        <family val="2"/>
        <scheme val="minor"/>
      </rPr>
      <t>Food &amp; Grocery Risk: Food &amp; Grocery has a fraud rate of 16.1%, the second-highest among the transaction categories.</t>
    </r>
  </si>
  <si>
    <r>
      <rPr>
        <sz val="72"/>
        <color rgb="FFFF0000"/>
        <rFont val="Calibri"/>
        <family val="2"/>
        <scheme val="minor"/>
      </rPr>
      <t>.</t>
    </r>
    <r>
      <rPr>
        <sz val="16"/>
        <color theme="0"/>
        <rFont val="Calibri"/>
        <family val="2"/>
        <scheme val="minor"/>
      </rPr>
      <t>Flagged Transaction Amount: The total amount associated with flagged transactions is 32,643.63 in the dataset's recorded units.</t>
    </r>
  </si>
  <si>
    <r>
      <rPr>
        <sz val="72"/>
        <color rgb="FFFF0000"/>
        <rFont val="Calibri"/>
        <family val="2"/>
        <scheme val="minor"/>
      </rPr>
      <t>.</t>
    </r>
    <r>
      <rPr>
        <sz val="16"/>
        <color theme="0"/>
        <rFont val="Calibri"/>
        <family val="2"/>
        <scheme val="minor"/>
      </rPr>
      <t>Fraud by Amount Range: The ₹500–999 and ₹1,000–4,999 ranges have the most fraud cases.</t>
    </r>
  </si>
  <si>
    <t>Analyzing transaction patterns, fraud rates, and high-risk categories across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</si>
</sst>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%"/>
  </numFmts>
  <fonts count="2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sz val="12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70C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Arial Unicode MS"/>
    </font>
    <font>
      <sz val="7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965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0" fillId="0" borderId="0" xfId="0"/>
    <xf numFmtId="0" fontId="0" fillId="4" borderId="0" xfId="0" applyFill="1" applyAlignment="1">
      <alignment horizontal="center" vertical="center"/>
    </xf>
    <xf numFmtId="164" fontId="0" fillId="0" borderId="0" xfId="0" applyNumberFormat="1"/>
    <xf numFmtId="0" fontId="8" fillId="6" borderId="0" xfId="0" applyFont="1" applyFill="1"/>
    <xf numFmtId="0" fontId="9" fillId="6" borderId="0" xfId="0" applyFont="1" applyFill="1"/>
    <xf numFmtId="0" fontId="0" fillId="6" borderId="0" xfId="0" applyFill="1"/>
    <xf numFmtId="0" fontId="0" fillId="5" borderId="0" xfId="0" applyFill="1"/>
    <xf numFmtId="0" fontId="11" fillId="9" borderId="0" xfId="0" applyFont="1" applyFill="1" applyAlignment="1"/>
    <xf numFmtId="0" fontId="0" fillId="9" borderId="0" xfId="0" applyFill="1"/>
    <xf numFmtId="0" fontId="12" fillId="9" borderId="0" xfId="0" applyFont="1" applyFill="1" applyAlignment="1">
      <alignment horizontal="left"/>
    </xf>
    <xf numFmtId="0" fontId="13" fillId="9" borderId="0" xfId="0" applyFont="1" applyFill="1" applyAlignment="1"/>
    <xf numFmtId="0" fontId="0" fillId="6" borderId="0" xfId="0" applyFill="1" applyAlignment="1"/>
    <xf numFmtId="0" fontId="0" fillId="3" borderId="0" xfId="0" applyFill="1"/>
    <xf numFmtId="44" fontId="12" fillId="8" borderId="0" xfId="2" applyFont="1" applyFill="1" applyAlignment="1">
      <alignment horizontal="left"/>
    </xf>
    <xf numFmtId="44" fontId="4" fillId="8" borderId="0" xfId="2" applyFont="1" applyFill="1" applyAlignment="1">
      <alignment horizontal="left"/>
    </xf>
    <xf numFmtId="0" fontId="12" fillId="9" borderId="0" xfId="0" applyFont="1" applyFill="1" applyAlignment="1"/>
    <xf numFmtId="0" fontId="19" fillId="3" borderId="0" xfId="0" applyFont="1" applyFill="1"/>
    <xf numFmtId="0" fontId="0" fillId="11" borderId="0" xfId="0" applyFill="1" applyAlignment="1"/>
    <xf numFmtId="0" fontId="0" fillId="11" borderId="0" xfId="0" applyFill="1"/>
    <xf numFmtId="0" fontId="10" fillId="3" borderId="0" xfId="0" applyFont="1" applyFill="1" applyAlignment="1"/>
    <xf numFmtId="164" fontId="12" fillId="7" borderId="0" xfId="1" applyNumberFormat="1" applyFont="1" applyFill="1" applyAlignment="1">
      <alignment horizontal="left"/>
    </xf>
    <xf numFmtId="0" fontId="16" fillId="5" borderId="0" xfId="0" applyFont="1" applyFill="1" applyAlignment="1">
      <alignment horizontal="left" vertical="center"/>
    </xf>
    <xf numFmtId="44" fontId="20" fillId="8" borderId="0" xfId="2" applyFont="1" applyFill="1" applyAlignment="1">
      <alignment horizontal="left"/>
    </xf>
    <xf numFmtId="0" fontId="14" fillId="6" borderId="0" xfId="0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0" fontId="20" fillId="7" borderId="0" xfId="0" applyFont="1" applyFill="1" applyAlignment="1">
      <alignment horizontal="left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0" borderId="0" xfId="0"/>
    <xf numFmtId="0" fontId="0" fillId="0" borderId="0" xfId="0" applyAlignment="1">
      <alignment vertical="top" wrapText="1"/>
    </xf>
  </cellXfs>
  <cellStyles count="3">
    <cellStyle name="Currency" xfId="2" builtinId="4"/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9" defaultPivotStyle="PivotStyleLight16"/>
  <colors>
    <mruColors>
      <color rgb="FFFFD700"/>
      <color rgb="FF996515"/>
      <color rgb="FF008080"/>
      <color rgb="FF6634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Fraud vs Non-Fraud Transactions.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130368570171019"/>
          <c:y val="0.17368623627392199"/>
          <c:w val="0.45277409301279992"/>
          <c:h val="0.77797292874649326"/>
        </c:manualLayout>
      </c:layout>
      <c:doughnutChart>
        <c:varyColors val="1"/>
        <c:ser>
          <c:idx val="0"/>
          <c:order val="0"/>
          <c:tx>
            <c:strRef>
              <c:f>Calculation!$B$25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FF-43DD-BDB6-66157810A0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FF-43DD-BDB6-66157810A0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Calculation!$A$26:$A$27</c:f>
              <c:strCache>
                <c:ptCount val="2"/>
                <c:pt idx="0">
                  <c:v>Fraud</c:v>
                </c:pt>
                <c:pt idx="1">
                  <c:v>Non-Fraud</c:v>
                </c:pt>
              </c:strCache>
            </c:strRef>
          </c:cat>
          <c:val>
            <c:numRef>
              <c:f>Calculation!$B$26:$B$27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876A-4A58-8CC5-BA79719350D5}"/>
            </c:ext>
          </c:extLst>
        </c:ser>
        <c:ser>
          <c:idx val="1"/>
          <c:order val="1"/>
          <c:tx>
            <c:strRef>
              <c:f>Calculation!$C$25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FF-43DD-BDB6-66157810A0FF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FF-43DD-BDB6-66157810A0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Calculation!$A$26:$A$27</c:f>
              <c:strCache>
                <c:ptCount val="2"/>
                <c:pt idx="0">
                  <c:v>Fraud</c:v>
                </c:pt>
                <c:pt idx="1">
                  <c:v>Non-Fraud</c:v>
                </c:pt>
              </c:strCache>
            </c:strRef>
          </c:cat>
          <c:val>
            <c:numRef>
              <c:f>Calculation!$C$26:$C$27</c:f>
              <c:numCache>
                <c:formatCode>General</c:formatCode>
                <c:ptCount val="2"/>
                <c:pt idx="0">
                  <c:v>151</c:v>
                </c:pt>
                <c:pt idx="1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A-4A58-8CC5-BA79719350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69761758380164"/>
          <c:y val="0.43279888254324572"/>
          <c:w val="0.16736765103057594"/>
          <c:h val="0.24347324926273164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noFill/>
      <a:prstDash val="solid"/>
      <a:round/>
    </a:ln>
    <a:effectLst/>
    <a:scene3d>
      <a:camera prst="orthographicFront"/>
      <a:lightRig rig="threePt" dir="t"/>
    </a:scene3d>
    <a:sp3d prstMaterial="matte"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/>
              <a:t>Fraud Transactions by State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Calculation!$H$12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Calculation!$G$13:$G$22</c:f>
              <c:strCache>
                <c:ptCount val="10"/>
                <c:pt idx="0">
                  <c:v>Maharashtra</c:v>
                </c:pt>
                <c:pt idx="1">
                  <c:v>Telangana</c:v>
                </c:pt>
                <c:pt idx="2">
                  <c:v>Uttar Pradesh</c:v>
                </c:pt>
                <c:pt idx="3">
                  <c:v>Tamil Nadu</c:v>
                </c:pt>
                <c:pt idx="4">
                  <c:v>West Bengal</c:v>
                </c:pt>
                <c:pt idx="5">
                  <c:v>Karnataka</c:v>
                </c:pt>
                <c:pt idx="6">
                  <c:v>Gujarat</c:v>
                </c:pt>
                <c:pt idx="7">
                  <c:v>Rajasthan</c:v>
                </c:pt>
                <c:pt idx="8">
                  <c:v>Delhi</c:v>
                </c:pt>
                <c:pt idx="9">
                  <c:v>Other</c:v>
                </c:pt>
              </c:strCache>
            </c:strRef>
          </c:cat>
          <c:val>
            <c:numRef>
              <c:f>Calculation!$H$13:$H$22</c:f>
              <c:numCache>
                <c:formatCode>General</c:formatCode>
                <c:ptCount val="10"/>
                <c:pt idx="0">
                  <c:v>18</c:v>
                </c:pt>
                <c:pt idx="1">
                  <c:v>14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E-4DDA-90B0-FBC653FDC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7883279"/>
        <c:axId val="467882031"/>
      </c:barChart>
      <c:catAx>
        <c:axId val="46788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82031"/>
        <c:crosses val="autoZero"/>
        <c:auto val="1"/>
        <c:lblAlgn val="ctr"/>
        <c:lblOffset val="100"/>
        <c:noMultiLvlLbl val="0"/>
      </c:catAx>
      <c:valAx>
        <c:axId val="4678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8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/>
              <a:t>Fraud Transactions by Amount Range.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Calculation!$H$1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Calculation!$G$2:$G$6</c:f>
              <c:strCache>
                <c:ptCount val="5"/>
                <c:pt idx="0">
                  <c:v>Below 500</c:v>
                </c:pt>
                <c:pt idx="1">
                  <c:v>500-999</c:v>
                </c:pt>
                <c:pt idx="2">
                  <c:v>1000-4999</c:v>
                </c:pt>
                <c:pt idx="3">
                  <c:v>5000-9999</c:v>
                </c:pt>
                <c:pt idx="4">
                  <c:v>10000+</c:v>
                </c:pt>
              </c:strCache>
            </c:strRef>
          </c:cat>
          <c:val>
            <c:numRef>
              <c:f>Calculation!$H$2:$H$6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F94-407C-B388-1D5049D1AB53}"/>
            </c:ext>
          </c:extLst>
        </c:ser>
        <c:ser>
          <c:idx val="1"/>
          <c:order val="1"/>
          <c:tx>
            <c:strRef>
              <c:f>Calculation!$I$1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Calculation!$G$2:$G$6</c:f>
              <c:strCache>
                <c:ptCount val="5"/>
                <c:pt idx="0">
                  <c:v>Below 500</c:v>
                </c:pt>
                <c:pt idx="1">
                  <c:v>500-999</c:v>
                </c:pt>
                <c:pt idx="2">
                  <c:v>1000-4999</c:v>
                </c:pt>
                <c:pt idx="3">
                  <c:v>5000-9999</c:v>
                </c:pt>
                <c:pt idx="4">
                  <c:v>10000+</c:v>
                </c:pt>
              </c:strCache>
            </c:strRef>
          </c:cat>
          <c:val>
            <c:numRef>
              <c:f>Calculation!$I$2:$I$6</c:f>
              <c:numCache>
                <c:formatCode>General</c:formatCode>
                <c:ptCount val="5"/>
                <c:pt idx="0">
                  <c:v>0</c:v>
                </c:pt>
                <c:pt idx="1">
                  <c:v>11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4-407C-B388-1D5049D1A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625215"/>
        <c:axId val="349628127"/>
      </c:barChart>
      <c:catAx>
        <c:axId val="3496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28127"/>
        <c:crosses val="autoZero"/>
        <c:auto val="1"/>
        <c:lblAlgn val="ctr"/>
        <c:lblOffset val="100"/>
        <c:noMultiLvlLbl val="0"/>
      </c:catAx>
      <c:valAx>
        <c:axId val="34962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Fraud by Transaction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Calculation!$C$12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rgbClr val="996515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Calculation!$A$13:$A$18</c:f>
              <c:strCache>
                <c:ptCount val="6"/>
                <c:pt idx="0">
                  <c:v>Online Shopping</c:v>
                </c:pt>
                <c:pt idx="1">
                  <c:v>Food &amp; Grocery</c:v>
                </c:pt>
                <c:pt idx="2">
                  <c:v>Bill Payment</c:v>
                </c:pt>
                <c:pt idx="3">
                  <c:v>Travel</c:v>
                </c:pt>
                <c:pt idx="4">
                  <c:v>Entertainment</c:v>
                </c:pt>
                <c:pt idx="5">
                  <c:v>Other</c:v>
                </c:pt>
              </c:strCache>
            </c:strRef>
          </c:cat>
          <c:val>
            <c:numRef>
              <c:f>Calculation!$C$13:$C$18</c:f>
              <c:numCache>
                <c:formatCode>General</c:formatCode>
                <c:ptCount val="6"/>
                <c:pt idx="0">
                  <c:v>41</c:v>
                </c:pt>
                <c:pt idx="1">
                  <c:v>33</c:v>
                </c:pt>
                <c:pt idx="2">
                  <c:v>22</c:v>
                </c:pt>
                <c:pt idx="3">
                  <c:v>15</c:v>
                </c:pt>
                <c:pt idx="4">
                  <c:v>24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F-4BB3-BBE8-2DC8481A78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7023487"/>
        <c:axId val="18570276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Calculation!$A$13:$A$18</c15:sqref>
                        </c15:formulaRef>
                      </c:ext>
                    </c:extLst>
                    <c:strCache>
                      <c:ptCount val="6"/>
                      <c:pt idx="0">
                        <c:v>Online Shopping</c:v>
                      </c:pt>
                      <c:pt idx="1">
                        <c:v>Food &amp; Grocery</c:v>
                      </c:pt>
                      <c:pt idx="2">
                        <c:v>Bill Payment</c:v>
                      </c:pt>
                      <c:pt idx="3">
                        <c:v>Travel</c:v>
                      </c:pt>
                      <c:pt idx="4">
                        <c:v>Entertainment</c:v>
                      </c:pt>
                      <c:pt idx="5">
                        <c:v>Other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Calculation!$B$13:$B$18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59F-4BB3-BBE8-2DC8481A7878}"/>
                  </c:ext>
                </c:extLst>
              </c15:ser>
            </c15:filteredBarSeries>
          </c:ext>
        </c:extLst>
      </c:barChart>
      <c:catAx>
        <c:axId val="185702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27647"/>
        <c:crosses val="autoZero"/>
        <c:auto val="1"/>
        <c:lblAlgn val="ctr"/>
        <c:lblOffset val="100"/>
        <c:noMultiLvlLbl val="0"/>
      </c:catAx>
      <c:valAx>
        <c:axId val="18570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Fraud Rate by Transaction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3"/>
          <c:tx>
            <c:strRef>
              <c:f>Calculation!$E$1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Calculation!$A$2:$A$7</c:f>
              <c:strCache>
                <c:ptCount val="6"/>
                <c:pt idx="0">
                  <c:v>Entertainment</c:v>
                </c:pt>
                <c:pt idx="1">
                  <c:v>Food &amp; Grocery</c:v>
                </c:pt>
                <c:pt idx="2">
                  <c:v>Bill Payment</c:v>
                </c:pt>
                <c:pt idx="3">
                  <c:v>Other</c:v>
                </c:pt>
                <c:pt idx="4">
                  <c:v>Online Shopping</c:v>
                </c:pt>
                <c:pt idx="5">
                  <c:v>Travel</c:v>
                </c:pt>
              </c:strCache>
            </c:strRef>
          </c:cat>
          <c:val>
            <c:numRef>
              <c:f>Calculation!$E$2:$E$7</c:f>
              <c:numCache>
                <c:formatCode>0.0%</c:formatCode>
                <c:ptCount val="6"/>
                <c:pt idx="0">
                  <c:v>0.24</c:v>
                </c:pt>
                <c:pt idx="1">
                  <c:v>0.16097560975609757</c:v>
                </c:pt>
                <c:pt idx="2">
                  <c:v>0.15068493150684931</c:v>
                </c:pt>
                <c:pt idx="3">
                  <c:v>0.13675213675213677</c:v>
                </c:pt>
                <c:pt idx="4">
                  <c:v>0.13141025641025642</c:v>
                </c:pt>
                <c:pt idx="5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48-406A-88D6-72ABF5B4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7007135"/>
        <c:axId val="8989123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Calculation!$B$1</c15:sqref>
                        </c15:formulaRef>
                      </c:ext>
                    </c:extLst>
                    <c:strCache>
                      <c:ptCount val="1"/>
                      <c:pt idx="0">
                        <c:v>Total Transactions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Calculation!$A$2:$A$7</c15:sqref>
                        </c15:formulaRef>
                      </c:ext>
                    </c:extLst>
                    <c:strCache>
                      <c:ptCount val="6"/>
                      <c:pt idx="0">
                        <c:v>Entertainment</c:v>
                      </c:pt>
                      <c:pt idx="1">
                        <c:v>Food &amp; Grocery</c:v>
                      </c:pt>
                      <c:pt idx="2">
                        <c:v>Bill Payment</c:v>
                      </c:pt>
                      <c:pt idx="3">
                        <c:v>Other</c:v>
                      </c:pt>
                      <c:pt idx="4">
                        <c:v>Online Shopping</c:v>
                      </c:pt>
                      <c:pt idx="5">
                        <c:v>Travel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</c:v>
                      </c:pt>
                      <c:pt idx="1">
                        <c:v>205</c:v>
                      </c:pt>
                      <c:pt idx="2">
                        <c:v>146</c:v>
                      </c:pt>
                      <c:pt idx="3">
                        <c:v>117</c:v>
                      </c:pt>
                      <c:pt idx="4">
                        <c:v>312</c:v>
                      </c:pt>
                      <c:pt idx="5">
                        <c:v>120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A48-406A-88D6-72ABF5B4715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Calculation!$C$1</c15:sqref>
                        </c15:formulaRef>
                      </c:ext>
                    </c:extLst>
                    <c:strCache>
                      <c:ptCount val="1"/>
                      <c:pt idx="0">
                        <c:v>Fraud Transactions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Calculation!$A$2:$A$7</c15:sqref>
                        </c15:formulaRef>
                      </c:ext>
                    </c:extLst>
                    <c:strCache>
                      <c:ptCount val="6"/>
                      <c:pt idx="0">
                        <c:v>Entertainment</c:v>
                      </c:pt>
                      <c:pt idx="1">
                        <c:v>Food &amp; Grocery</c:v>
                      </c:pt>
                      <c:pt idx="2">
                        <c:v>Bill Payment</c:v>
                      </c:pt>
                      <c:pt idx="3">
                        <c:v>Other</c:v>
                      </c:pt>
                      <c:pt idx="4">
                        <c:v>Online Shopping</c:v>
                      </c:pt>
                      <c:pt idx="5">
                        <c:v>Travel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33</c:v>
                      </c:pt>
                      <c:pt idx="2">
                        <c:v>22</c:v>
                      </c:pt>
                      <c:pt idx="3">
                        <c:v>16</c:v>
                      </c:pt>
                      <c:pt idx="4">
                        <c:v>41</c:v>
                      </c:pt>
                      <c:pt idx="5">
                        <c:v>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A48-406A-88D6-72ABF5B4715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Calculation!$A$2:$A$7</c15:sqref>
                        </c15:formulaRef>
                      </c:ext>
                    </c:extLst>
                    <c:strCache>
                      <c:ptCount val="6"/>
                      <c:pt idx="0">
                        <c:v>Entertainment</c:v>
                      </c:pt>
                      <c:pt idx="1">
                        <c:v>Food &amp; Grocery</c:v>
                      </c:pt>
                      <c:pt idx="2">
                        <c:v>Bill Payment</c:v>
                      </c:pt>
                      <c:pt idx="3">
                        <c:v>Other</c:v>
                      </c:pt>
                      <c:pt idx="4">
                        <c:v>Online Shopping</c:v>
                      </c:pt>
                      <c:pt idx="5">
                        <c:v>Travel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A48-406A-88D6-72ABF5B47152}"/>
                  </c:ext>
                </c:extLst>
              </c15:ser>
            </c15:filteredBarSeries>
          </c:ext>
        </c:extLst>
      </c:barChart>
      <c:catAx>
        <c:axId val="18270071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12351"/>
        <c:crosses val="autoZero"/>
        <c:auto val="1"/>
        <c:lblAlgn val="ctr"/>
        <c:lblOffset val="100"/>
        <c:noMultiLvlLbl val="0"/>
      </c:catAx>
      <c:valAx>
        <c:axId val="89891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0713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+mn-lt"/>
                <a:ea typeface="+mn-ea"/>
                <a:cs typeface="+mn-cs"/>
              </a:rPr>
              <a:t>State-wise</a:t>
            </a:r>
            <a:r>
              <a:rPr lang="en-IN" sz="1800" b="1" i="0" u="none" strike="noStrike" cap="non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IN" sz="1800" b="1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+mn-lt"/>
                <a:ea typeface="+mn-ea"/>
                <a:cs typeface="+mn-cs"/>
              </a:rPr>
              <a:t>Credit</a:t>
            </a:r>
            <a:r>
              <a:rPr lang="en-IN" sz="1800" b="1" i="0" u="none" strike="noStrike" cap="non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IN" sz="1800" b="1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+mn-lt"/>
                <a:ea typeface="+mn-ea"/>
                <a:cs typeface="+mn-cs"/>
              </a:rPr>
              <a:t>Card</a:t>
            </a:r>
            <a:r>
              <a:rPr lang="en-IN" sz="1800" b="1" i="0" u="none" strike="noStrike" cap="non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IN" sz="1800" b="1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+mn-lt"/>
                <a:ea typeface="+mn-ea"/>
                <a:cs typeface="+mn-cs"/>
              </a:rPr>
              <a:t>Fraud</a:t>
            </a:r>
            <a:endParaRPr sz="1800" b="1" i="0" u="none" strike="noStrike" kern="120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ysClr val="windowText" lastClr="000000">
                    <a:alpha val="40000"/>
                  </a:sysClr>
                </a:outerShdw>
              </a:effectLst>
              <a:latin typeface="+mn-lt"/>
              <a:ea typeface="+mn-ea"/>
              <a:cs typeface="+mn-cs"/>
            </a:endParaRPr>
          </a:p>
        </cx:rich>
      </cx:tx>
    </cx:title>
    <cx:plotArea>
      <cx:plotAreaRegion>
        <cx:series layoutId="regionMap" uniqueId="{C0F295F5-986F-4F2F-A2BE-671E3ED116F7}">
          <cx:tx>
            <cx:txData>
              <cx:f>_xlchart.v5.2</cx:f>
              <cx:v>Fraud Transactions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1HrZcty4lu2vVPj50oWJANjR1REXZGYqlZoty8MLI23JIDgAJAEO4Nf39nHViSq3T3fd6LoPpQcp
Ukwkhr33Wmsv5L9/Xv/tc/tyHn9au9b6f/u8/vKqCqH/t59/9p+rl+7sX3fm8+i8+xJef3bdz+7L
F/P55efn8bwYq38mCLOfP1fnMbysr/7j3+HT9Iu7cp/PwTh7P72M8eHFT23w/82zHz766fzcGVsY
H0bzOeBfXr0NAVZ5N56fX3z16qcXG0yIj7F/+eXVH9766qefv//A/zL5Ty2sL0zPMJbw1xmhKccY
ffvBr35qndW/Ppbodco5TYmk2T9+6G9T35w7GP6nV/WPNZ2fn8cX72Fv//j7X4b/YSPw9O7VT5/d
ZMPXU9RwoL+8Otpnc371k/Eu//Ygd193cbz5x7Z//uP5/8e/f/cPOIjv/vO7EH1/av/To/8Soesz
5MHZV2GEFf5V8cHZa5YSxGhKfxQfwV9jJKXIUPbtMflt6m/x+ZNr+nF0/jD4u9hcX/ytYvP40p6t
Ptu/MjLitUSIpxmWfygZkb1GKJMsS9m3koHH37LhW0j+1FJ+HJDfDf0uHI+Hv1c4zp1pf7o5P0+/
nc3/Hskwfo0wBxiT38VDvmZIIIJS8dtkvwbiTy3iX0Tid2O/DwVg0d8Itd69+PCTeoHiaH87nv99
LAh9LdOUiCwjP0ItKV5nAp4IkX57/B2r/Mk1/Tg0fxj8XWzeqb9VbE7n0Z7DufkrUYu9FhgxwtgP
I/OVT7jIcEp/zPd/akU/jsvvhn4XldP//VtF5TDVwPPhL6wW8ppnhGPxL2KCX6eZQCDR0m+Ewn+b
+huO/Yn1/Dgi/xz4XTwOl3+reDyc67MP1dn+dix/AX7x16lkoHzxr1UCsup3qlgAvAG5I57hbxFJ
f5v6W0T+1Ip+HJPfDf0uKg9/r6gUL21lfjuWvyAi8jVnAEqI8x8xihCvoTyYkOmvEfmuRv7H1fw4
Gr8O+y4SxdXfqj5uQ/Uy/k+R+Av7oh+Ln983RH94x/9rw0pef21Hgb/YH2sye005pV/L8ltNfqf2
fu0c//UyfpwBvw77w4r/P7eh/zoU/2zkC1AFu384AL/rUv/7p//YHpgT3w397xrVb2d1fP7lFWWc
gar+p7Pw9UP+0NT80Af43cgXQOhfXkkGLdNXSJWcc9CGOHv10wL685dXUL8oowQYjhEqicQAuNaN
oYK50WuGUw4hp5QQkVIY5N309dFXmckYdFsgVhhmiJN/ejB3ro3a2X+eya+vf7JTd+eMDR7mfPVT
/+1dXxcqGM5IihkQLUdEEExhCf3n8wPYPPBm/H+CDRkfp3Q+9HXI3izTGG+tq3mf08yMn5Jsa04L
yoY+/91B/WBazBnQxXczMwb0LlMBG+cy/W7myfNmXtN5PnA2lXsz0rQ/d2SJSJkZs05NPW6q3IzL
9L7t637brcz1TS5FS6e8bBbED6jtMcn9SNsP5VCaoCK2q2I46pDLkQ458n1Z5U1X+uliIdiO+TDh
JCi8BGpU72T8RJdB0RBHeyCUig8d69ZzdCR76lDdVTtE5vk++ij6ogncnEzVNkbJvuzrfMZkem+Z
MPsUp3Mhu+7EjDOHRe/jsvHcb/ZTPSR5FehcbA67wpfu89yO+MqPS32fTY14l218ONAyqa/Grsc2
r1LGXZ5oXr5N5tbUu00n7hglWXNbxhfh0uaAOrov55ocA1nrYlmqO1lNYj+v3aascE2eYPtkTDfn
S7+OsFvyZpaJUCYjD7EbbJ7Wrc3bzk2ryii7tf1SyNWxnFCkC71MMHAc0r3teZsnAVnF+7HOx5Wc
+6S1SmfshFJf+KptlabjwZbtfhn7WQ3lZtRAswPno899urXwJrfkpPTL7TJOwxWa+nDcynFUZeun
fXBTV7iRTTkekM0n7XEeFiN2jaS08GsZDiHV05Egj/fM0PQIfS9XyUyGHR6n6bJE3hzoUpF8q9ct
n1JLLpqynvZlr7vLqmv4IUvbshi3aA7bMia7mTCnlce6PVqbsOcez/piYigpRMKTm62e7RG7wTzE
rfVNYVnLCu0nUyu5llVQdY1onaey6nTBpGBZ0UhezbuFMn+Ogjcu7zcKcTfVJj7oiclrEQ3+ZGfS
PQcRa5HLpk+pItUyPWjXXKE1cW2xjMjc1CQbjiEOJ41YctnRvr+sts696yRncNb12CcKbaHadmO6
mC33WZVwhZDjPDeau7uunVuiUJlirZhrbEE6kt4w32woXzFtr1rf4cOK+7Y7NEkl33RpMg5F0jFU
DNxuZJcmOCC1CS6v0UirRfkhzvckCXHPdBX1pdb91qoBDeKDDzI2qiTNdjMI6qp8EEn5EBeJjiiY
1eZ80N3VBgV1bPBS9qpCUl+wrGWPbhxDqSSXJsJhTnWnaGQLVZj37S3t3PyU6SGtlMzE8qbhK6En
nbBx2cl00cNlXAJ+cUM/HDjt8FNDq2E6hA6zL5YvZbZnlMRRUT9QRNQW0+RB8rDseTZsp8bLulEk
JSPN7YCaVtG2rh4nYuykzJCcxh7hfQ8/NE+1EQ/TltoF1tf5fbsltyWLz1w3n3xXXeG5PvQoYfsp
Eqq6mbQXc5XRW85qUwxsujKhaZSMvLnKgmnUhhOjCOp90W1JuKj74cbyzd8NNXquGszV6MYuL0Or
L1At+msrRLMnGnYkYtfvdSfMXVUm4bAmXp6mbSW7sKzu08bHeR+7hN+gWGtTdLFcrkrfrF+6rtRM
mYWYU1ZJUkECS1Lmm42zU2NM8SdRL+ayJVN7yoS4XUW3WpV6HGiBsfX8ZXARt0YJF1kubdJBXSbv
Q6eBrb3PLcfp26aKYu/tPN1nFKNBVaaURUjNfLlN20tPB8AP7xjbV2NfFhmJ4nqmLE9Zs1GVrYne
LZ02Rxeq7i5BuBzylE40R24pH0TLGvo4J9sYFIpNODZ6mD+HpJtu/DL5Zle5wakVrg5u5ThXeQyO
YFXTVUBmlWMCaKE/ybn2RWJTeUHlChtLBcpbs8BprIS8la2rTinEUXXrAp+wQgLrpbmZS+bzRZcX
U0u63HXpZWgrcd0TXl1OPP0C7GRurMv6QzsOulYcMsUfa9qseV8Ojd6N24aiMl5jWyRxGJ9NEmun
dDOiK8GtLxUp6+B31ZjUq5LprK/Xan4wUTfvghmbXSuofEEVng7R0HXIMyiYQzrMcr7oe16z3TzP
8mYITfckIE75vOLxIralfZ5mzu78OpSfYtti9sYPHcBs2GwVChcoWpUZ+VgXPagDpxKsx13Tj9u1
NhvN6wl96qvU7dPOb4eW4PkkTFaso32frFPf5dXqyVo0vqGiWGZO8cF0kx8U66XEigwmPC4NYZUq
cc1uhBfLuot8JKqdl+EuSntf0s2qajJj4fsuuWsDK2/WZBngQ8vcSLZHfjQFtgwXZNBxp/Wxw6Le
LZKNp3oAZkrHWdHGaNhCdZ3N6HkQ6+cI+H5cvACpgEg8mi2r8mQdyEWSlFwZXSYFIe1VL9t1t01j
epCztnmpSVlslYYgVys71al+0jTTuyEskADlAvCsaVBLYH7Ou2SrHrq1jztXm32ylDvTcbwPcSJX
1Qo3XG0SsEKJMM+rJiEvpzlct15SZRJMlFvXJo9+IEr7cjz0IvYFRGjZgRakuccWFfO6vS3bGQ6y
c/2u43Cw7WDLaydndyh9/3ZJq+Qxc3a8CFk6fZUaQtV8DAfHJT4AAsmTTnu9k83Id2giTZFaxi94
TZmq6uzOJxHKtyPsdoW4o6X1ISfjvLJD0nCza1ahD6NsoqJ0pFDwhqUnkAv+g5Ffg1plabqfvPF3
3PTZrsbBy52z5fIBTJ32QYQNnVDWNl/8mvJjApRzxHO2vKv7lhcTWd28X1Lkxpytky20QOUXVG3T
BU+jzOvQkr4Ami0PySxTo5zB1Z1OMmDORs/okmu2HlZS03OGx+FqRmS97bLQLCrpbWbgvAm/1FnH
ajXPdXepyWTeaDAAT0jO+DEOdfnS+nKbVW9ld5CjNg0AEy6PdUDppYajRvm21tlO08RcQql4o5CO
sz44JJtDhwh+okxmiqVsDqqLa5ZXpNXPU2PRnLc8Ew6CYLu7RsrkkQheX5jKx1O91tvBoji/Z2no
TtMQbaI2kA830Vq/J37K7GVAqMl2aUW3x6aO8WWqeQdlKpvmYRTZ/JBVrh/yxvCqAGk75QtI+31d
Nv5JRoduysray6rE6BDJPLRAfmLRCvJAvzdsYEXXofaUrsn6OC8du5itme+TjAZQk7y8o97J6xZL
fApWivdJuzT5oAf3nrLy6B1OFQ/6ZpQ1vyJSJ9tuSNKZQ56xDpR7hXwOiIcVJ5u5YohuahXjeHAJ
AcGzlGbNxQCdhZr8ilrVQt9QqSYtu5syE9Uha+2gyGxBMHYxPPCQbEfRwwqstPgt5fPcKGig6GNZ
LlzvtoTU+A4oAvht0mKOAGCYF52XJm9b74tss9meU7vtM86Gm6lhdS7a7FybHu8SghvAGRsPZK75
fhj66hlES7tLeB9MrreWaDWt0R66dBmP/TD7D1C020OSeVCb6WoPzQiTyASRXS1ks0s7p3PeUX3n
1pHcLB7N69lRsg73cTVD+ybhixZF6Le6hE4EGry8xLpeVLDjWuaMzAhYdgqJVFzOySHtXf3QsUU/
rj02X7akIYcscu1228L0YRqRv+8jwR8ml7HHaV1Iq+JIsvfTprNtVxtj3+guqZ7XhdeXCXhN54GR
oJUYjIFw9Hx9QCBQX0bqtku9OCpVZ9bhIY4YsGIbCAA0CG9AtTQM+jCsDUD26On0jkO4z00p2NuU
Iz4+yo7xcFO6gdHdVi/E7rCXUD9dPe5mGmucy1THqcg6LUZlJhzNsceQhMWkk7IG3e7HXegix6pt
oHpZrCUuHPDhyeE646qhQ3+jR1FVxZJQcj0kvcBQ74JE5eZeHwc30Q/ttlQHi7P+qc/IdCbQEuUD
64eHMWX3JpkLvba+6L2UpxA1LTTkoWozjs61qJaP2mb1kZvUPNXbnLzHvUvljmeRfeAmrpdzWOJ+
zqS7JRvl95pJqRXWa3nB6nY3xL45gqKurlbClovBT9vFBEd4noWer4JL+B2r+nHfJeKAgxO3RtTx
MnCCi2me6gfLEnadBTo1Ks0CwvnQm6hWOaBeiTaWJzduIyCOKK91JT9OunpO5m69n3pUWrUOYwdo
TTxRns/Zl0n2Iq+mzuwZ4bqYF1I9jTKb3i01VE6b2PCubrUuypXTazs17tK0rLtvHPuiWYVy0ofs
YQA5e9d28wDqyvQvjLINGHQhF9Y3/HGbs3C5aYR2eAvLU4NprXzSVDe+TOs7t410F8fB212H+3C1
lmwpxkT3R6676n4GA6CgvXG9Guulv5ugJ/00RMLuq86GfdyySXnpxts5XZqjE8O7Ca3GFaskEeRB
R6fd6jKZj0sk+2YK27nibVR4nVDetBQ0UKjJ+7ly5HqewcVoeZO9N2IoP5YGMD/VoNOAVucHcFTi
RwNa7MYGve02X4brSTTNmwAqr1FLi9h+S/rkkjLWX5ceUn72gPeid9NHY0a7K7dgzpFLkqo6g5Ya
21lcSwHNmpojVJcBVimq2Ui1ZcApcknnvI7QY9Gy2W99VV9bOpdPrUz9ZdqX9VPiIK98xTvoBGdb
yD42RVdRfAdfiSCXpZiXIpmn9nGNPbmuks5+YctaDcogSx4l6Mkb1AHnqWhL+ix1Ax3WNHbjCWmf
1Wora32RQKLhHW3nBKsQmundNDRBFy5h/buw9kMGfdeK3zRp7B/FSPy5TirwVkQzDbZYs8G+974t
z0tA7aAyDfhy8m7kdxug39M22oZf1bbdatXxjo37upHlWYcF+qt0MvTTzC1/cqTb8kYId14X3Bek
ROKd42DSpF1wVxqUmlELYAcsqO6Kxsp2b2bBHrIE0BvzMb2Ak/S3I/bz9dbM4Tx103zC82CUJ7Lc
eWfaizjRuN8q7668BMBw2vTvR4HMXjdd8pC2TZrXHSoVFnkAiHe5dc4+Ozvw9SZLdJVeJHxbVGqz
GNW0aPxkoduoVN+s5suMmNxnI4q7WMeVq3JbdKWcjfFdAz1koUuTXnhhkkrB5jVoAlZCQ00qz7o9
qIDxKqK5+kAygx9FbSGBDN5gDYl3D9FJv4IRpO0T64YvvjGD3A0i2vM2lvGLAw16rNIEYKhMtqLq
Blekc5Ic+Go+NRqMLewaNYl4btc0FgGoOV9CoPlS1eirGHsCkHGXcfRvULmQg55MctJ1kBBNl6gp
a9Mi4e6qmfoSVLp8CMaz25KW3RXSjCSKsg5cgLVsjmmw9rQwy49mjZAOCZh+l1s3Tq5oK/qVprp9
48JQZKJVQFUeKi3ZTusU5bXRsSrA9BgPOCvRpwrS51OPUbupxroOxrfDiVcovZ6hg9rzloaHOoq7
uFX4ANy8PDRlYq0KmI75lKTLoU0yphowpW7hG0a3Xz2hD4iXrFddv2BaNImtb0HZdVohwKvrSkgO
bpdPK62yiul8qqHxVGLdGPhvWyjoWrVPqBUtV9ky8nuQBi3Lm6opb0ltkAqL8BeBVTyvW2oK6hFS
soxQl22ZqdDirtyHLTQWSM+NJzaCl5iziZTvBj2TvR97/6GOFF3Xbmq84lUCAM7m9J6aabgeYLbc
DUN5V2FEr1GfWDDOMidOU5aJC+qa+pKY6E99QP3JMCMfOG77vV04OHnEQp1GP4dbMNd82KXUg6SR
omt2w5zERW2sr3eaxc/ZNmxFIJrmmyboOdl0c5zLrXzDAZkUFxNhQEcbUXyTzV7Xk96PKdpuMw/u
W0WEGxSuO3m9NqG/35IVQeoNCB4l1F5wt2zndW7FZZ/29VueDoCCq/MD+I18VD2YV1hBUftb6AnI
E68icwVCM2guwS6oBzILblZaxBXaPSzVSJK3Msxe1XFxCsdOQzT7at3Va7vei5K0+RBlcgwt7y8T
h1weEzt8RAYESKKdKXxXGwBjfwHt+qHB3XA7Ixf2YyPBVdxWIFJ4mR4Dk91Vu4plT1ug08JWdR/z
KMuwY7SCGncz2A1cxvIwNcOIgXjIfIPbzD9xvuEnuVhdtFOsKwXO1abzmddmJ1rbQJ+8mP6x8SDG
9yb1ayw2Mdd2n7Tg5Z3mqiJgyfaOQN6C+TGpqtHJO1szfylRVYP3DCK6yauqnh+2WI3m5AQ3byqx
oQX0TAJm75bydCnqwUxfatFth21a+MeGbPxBrpnDe2HbZNjVNeftPqUOcKseqmxUbcvJlE+ZpA9e
MpDIS2bIrBqZ9e8mRutPc4LilmdyQey4+rHkl1vG2KNhm30/0HI5JLUdbteJGq10Ovj7OeoN7LZI
5F2/gBFHZ9bdAt18SLHpi1L6RmG44fyYOFrt+7hWylBBL70k3VPt69ArK9dhP/GK7KLFLRgp4Qin
sO086tcbbryQKnWZexPCvBaojNsj2JfppRyIuKORg8VQL7K/0tOWeBUGKp/BNeBpri3JGoVGuDpI
1jVhRSKW8QI85GHLR+3W90ZyIAiwUON16JjYTdW96cU0Fdry7LEJpb3SY6lYw8emIK1Yr0sCTHDh
gWY6ZbYqfJJVDV/srOI6ebW6bp4VuM7pvewpXVW/xDYrjIjJkAcKTm0xO2mbglJX74FGyF3LsnBP
I9negXG+3Cd8slFluD0Yy/wh+J6+pU2z3tI+sJ2RyYL2zpBY+Datb+FbuhH68kXyj6Fvqg9m5e0p
JHi+GxPSDGBB4oqdBrnCrQvGLfyuJE5vogGVlQeRzO/jFjjY/yCu91W61gdUmfV2zUY2KsGazOYN
HMS9q8ctyXVP9HOJKzHlhmH8Rpdg9CrToe5NbQTZrUkJDXTGtxTo1Kc5zypopNaOpjejw/5h0A49
kIXa25iktlaxNMOHbZXmhm/1AL38IPk18gkCG8f62l6YMOC3vMrIyQwZ13k3GFQpP4H/qWTdics6
JuVn03Tbuc+geHZLBYJNzWhYymLeKlvwSKGN28a5fQfZNs+5bQ0wAbie661HtPy8JOErwEERpRje
JAQlR4rDdo2IFZdVVaKDHjp/AmwHAvIZevZsGqsic8B8S58kb3li+vuVj+Jy1fVwxZYwHzdaTV/8
xMyBQ9oOapHZINQQ1vWF12VXjO1UQA/R1nngwV5YtonLFHC7mIVr37B1Ti8TYqnamjg923qgfb7x
yA59i+xFzcQKGk13wxn3yFc7PQn3AC0SuN+99W+bmcp7Cers89YL8WYjI/waAYe8nof3OuAILV4Z
4brDCJ9chgYtuwnO8I1dfPgMDNRJVYsle0w2TMvcdiMxO+eru6kT/sG5JoXbA8AWq9jE2ClDIdx1
VLSnHsMgXDqj9MbFHV8tuAkodtPHDWy1r4Q8k2s5eb8vBXQlStulfWiqoanzKqtJ/6Ys3Xa/NnDF
VoG4uULI8Hu43LLHFuHqwZO0z0mzpvk8D9BqMDfuxhFXaquW8rabI7+EYfoWqjv5tOJ2zOHl+6qc
mx02bj1DyyxvJrFtd3HtngecFl0z6XyonMxJncVrHmL3xix0OYxOuLyusjfReLJreJsCM4J1eQwe
pbWiy2p2NUH8kS6wr4wLKJ7Yh4K1UNdqTPyyn6F9hRuaCRyOxHTlMYBs/ygqx+9KhHCnGF3HBwaC
HjqBNk1mJSdguXld+0szp7RTMdP+g27W8QpuVz+7sSGN6oNPbytNxPXCHbtfwc74aAV86Uc1uNQB
2l24vqkmyKYF6QtA1fLrvbHMNQJPoRkn8qW35Zwoj4bJ5tj5xORgu4+4aNIldnkKEuE0JcK+oxoo
q+oykCwVOJwNJotRDG5bnJpw/wT3qeHYwfnuqiG4i7UaZQHfV6U7GZF0B0RTBmyqV7i0CqH7yGnp
r+HucNq1PMovs7f+tCRNC14wlh+QqNCo4tTKJG/QnF1OZQpCVtRwb0W3CToYgqvl5IkHK6cbaCHh
Ngfs3j499ymzLK/akBzLxENGgkdiVAo+xnVYUwC5TAz9qoKv3qQW7nxohpdHI1b27Ja4fjIgWx+H
dZpGxZv1K/6XdrriWS2d2ui6fhwauL9UgAr6CSxSkCZbBz2emmsA43mSAu5hmkCBaJpQXS8JQp9a
msput/RlACclAnFFm/Fj6QQ6waaSDVJ9XPOqp/MxpkEDc1ntjqNPe1b0mthe1WUb3w2yIXBvU2V7
QnrgfDtUYVdy5MrclSQpiyDMdj2ZEtA7LKS5FBn3l3r1HVVpE8XnDNUGvDwEN36qWR2wFTF9mSic
xfSm70w1KjDamgBpDiymOsvrWXE+0eEqW1eYpmmYvii9c1necYbftvMI9yjENqd1FqtT4T85+7bm
uG1l61/EUyQBEODL98AZDiVZVuzYju28sGIn5gUACV7A268/a5KcRMK2rG+jaj9sOy4Q00A3gO7V
a5VBcIsku+ZnNk7Xv1jhdFlpm/gDarZEZSsKovykO8Z+H5amezCooL7F4YW7i8JxmZUMR/vtHOpI
nnl8bJ+Qb47zUbbB++r6utJiPi62Srf5RFEfzNcmlOetUeFrkS7x75L210NMpZeglGN9opFdygsD
iuCUIjn86tBhdLd1w/awh6h4k+iaJNd1n6FME+dCJBE8a4nzoF3f0gCZ0Xpa8bqePllcwu/2slO3
IuiCfJbRdF73YfkjMqx9bXGdeIiv0bk6dnHmPOzug8XEp3LB/ztaNtdZZKfwUxgMzcNU1fK1HNc4
7+ewFqdhW6bmRNj8qbbmeDsuS3ffy0GgjB4FOY1LfasiHn5VZuF5ZcR4r21f/1QeQzueTLM2Z6vW
4+tUkfqmilJ+Ox79eoP7OtLEva3Y5U8cx99onL+BHH/hSb72Zh+bqv67reefP/6/973G//5sMvn3
L69dQf/+6fX/tRP98F8Vf/RXKOHk/qPrbP4ZC5P5e3ZXPM6TP/wHOOgZ+M9f3UnP/Mcn2KAnCKj/
Q5NdgTNRBPT288igJ7irf/79X3iglAPaE3HCGABGgB0n/+CBEvE/UQosnwhZGoo4JNG/eCBAhTiu
rMhEJikhQAz9gwdK/ocnaJVJBY8B57kijP4bPBDGeYTKQcqbcsoZS69onUc4oKncyl42aXJTR+eU
/TQtAGb+8/v/3iePcUbPjXv9+0fjpnGzJBOeUPnMaoWj+EBqpI6RW/EbHqvyePiWB3Jft46jfjqM
489rcoTV+2o7+m8/Hh9Iyu+axQEppfqQwsoyyQGjmo63JtIp7sikZVEW0lDHOKaHufzLqf7q0/ov
bIXlf/xjJqx9u+JhkW8TQa1QhKQasx6JxV9//GOeYr7+XePw6fg8RSYZ95gkxwlNX0fRSvW7NWzD
5H4Xc7cVAQeIAMWswfz84w8+s/gCO/3xDzIiRJS6fnBRKd/u+tqiWkUnWzf5jz9wHehfFNs/v+ja
BPP4A6I51nC2hOWrRIH5Drf5Mj4ZOcX1PZN1G7+OrLSoX01Dt/MsVDQaLmFXL+PNj78fXU33vQlc
Tf1oexuuJ8mmneW4nC3DCSC/gpPom0G1YpXZUK0LgGw7D+57ZA5lbuMez7ssqPDYAN7Ww8HEdec+
moGqdr0otsIEyD+fyNh/4wAGvfD7nltAJyr08NRV7DPL933in8J+77MSpYqf/KbuxAYl2iaZyMhy
SZrmjxD9qPdd0Ej7Atbwuck7saEPVmaGmrFczXz5JVoHimzlwf0ij3Aiw6jW1ph4YDkKO8eRA8K1
jOfE9D33nL4TDeKtisSuWkSDntr2tCfJRrNhgCudf2z+Z2Jb4jiPTpeV4WLAC62mASgbrQf7CxmO
NLybgzrlb1EZIcntjz/23GI4sQdJkaDrJxMUXQ+I3Bvc5Or5Fz3PwTev8bkTaiYR2nDFjb4AzlLn
e0WDETUrOY0vrMZT1Oo/kYY7xkp7SZVF5QmVbHFogB0js+Rq3SOAvJqapp6fceIJoX0pkDXgxTzb
eL7pkr4L8wM5ry03DS7Qfn7NnaAx9MtQkk2LwgC5916Oe/1Tx5HQ+vFaPGcrJ2qschPRijtOEQd4
B6tp5OQeSeZ++CiZADLqx195Zkfx698/Cny1qIwU3IhiVHS/DfQR/pRW0agyv+HJ0+H7stlDGCcp
LB/iLQvbDUXgA2Acv+Gd8GGRyOECqOxiUVgBoP10jlwAN56zd4IHSmzdrlBCLwBXkliDXWzXV/3e
HJ4fcPxZpgEb0g3WT5E971DKB0AyH1t+rG+8DHS9JT9eXpT1yRQFG9C7U938wsU0vdmaatj95p84
jsb3EW036J4tDKFzczPjNZ8iya7X0M/FEsfFtmYfkhmptUJOlaG3k44XpM0sHV86m6+R5ztXj8Tx
sr1qq1CvWOKh3A3SBBXh/A2QaQugT3OJEs9WxXv3SWlBfrVdtXYvRPLn7jyJ43hqq0reHytCoRIK
8ORgKjlu9jLFtU7Ma0vnrJuBnwD+OTGo/G0HMC8JoL39uyWcE+tpYMdB9zIJgLkJykLzwJ5Js/Li
2hvwwv6Irp7yPfPGT/cfW2YgduIhLUh4jADcROWCAlp5HOrGpITvP1WT7r+ZgK76hh6iYw8b4Hvd
65gL0X5CdoaxF6byTKBLHF8WXQsc0Nogu8vLiZySI/3DbNs6+MXRxPFkNZIk2reWF2Ng1gLp3yvO
nIjqdy8/Zo4f22hMRNtWtKjMJj4znG4PUxhovzDKrs7x6BAYSNW1KHalBVN4yZxsJNACAUjpPr2w
y57xsms7/eMPTM2ws3gbRTHvaxnfAno6hl+AxoLH1XEd9lnX2Gvu7EhM9dXoAwUNP7s58YOsncIm
GpMiEaW2mRniCTlfSwPPCM6c+HHQQw4WZYncDizKE4Abz0fSB2e/6TtBIinTEHWJ7SgmW80F0KnA
Ro+mfSEGPeMSzPF9ECLUwYaratHGjT7Fc9SeS/QYeG4qx/Xx6ukFKgJHEePdmAF7/bGr6EsXyeem
7ngzuhs6uqnqKFDOBtBo70Icz0MdtZ77xnHnurWzIeN+FEGp01sA4OS5JIIWXstKHW8mZmFmlhh9
LoEIWAmfMmB7G7+5X7vvHjub6OJDLBzLGswx2raIRcZZcuoXR6njym0YjOFaAs0+RI26TGmHejyj
x+XHlrm6zXfOC+r4a1ey+kBvx1qsAfsDz065XOgsTVcAIJJ4/gLHZcnCl66VqLATOO7PgO+0eYQe
H7/nOHVcdu5wFULb2lr0aBK/FYCVn9u98ww31HHZaNaqFEdri2pS9FWjNLooNuU5dcdjcVCXEvDD
uRj6toxOI4unE683WZ9/vLjPOC11nJaV1SQDNBHlpmu2OwDl5ntblsrTqRyXRX40WCLbAn9iq3V6
R9ZQqJ/YCFS43765NpM+9isZNcsVbLThSmiBuDPs857u3Qsb/xnbEMdpWRtI4GDLJR9UHaHhysbZ
kAK86WV54jgtMS1qHq1YYPng8xjjftelW+m3rMTxWWmOMQiAlv1r6jRGRwaw7L5Td72VidKKOlry
dEXSOL6OPvkb5rocj24+qIMaNFBidIDZ6pMV0qI6F7eeZne8taZM9GAXwug0/mNoqLpUTeWZ2XJ7
jiVY6URTYfD0sLpQHKCjGg1+fneDaxHlsWG2mfBS7XLJ2Vyu2QZMQRah2up3RBHHV3Vt4q4noc27
BVB44EnQnXFEflaPHT+d0OBmejSF5lrWNENL9edgAZ7by5Nix0/RETqSvQ7mnKPRFh18zW8AqE+e
gztuOkzp1uImbPMWoJ4MKDcAPUcUcv2m7vgpJ21QNUAs5zy10esJ5ZE3Ja+UX4kqdvx0szRGE3dq
iyMCJ2J2dCIB9BVNGJPfnokdV42HLdXWVEuxUw34ZkAMK8waz1/9rOP4atSU8dhvGidrOam7tJ2i
84S+odxv9PipO9mxNKTaGXprU/Jr1MZvJ0re+g3teuq0t3rf0cra1MEDwuPnPQZA2G9sx09TdL/z
qONz0a61ONuave9l2fst6JXR4XGI6eQUjKmwtggaNAqplt/zeAj9Zn4l2ns8OMrCq5k2EeSd2n5v
9uhjzPQrL6NEjpeKZq0CnNd7gWGnOTti9Bhk+0Qqv9AbOX66VMzWkqIJEWQl4Sc6Iw5kU3NEfjeN
yHFUO6g4VGVvC41OmHO/8S81ICueZnectBTNwJdmtAXbx/2ktcHU5UuV1+sg33kcXMEDj9c07RLa
mECjO3Oc09cC3cCvVVCaj37L6rhoPMfzCEZVbMe6rDOi109cNJ5L6vjoQfu0LWtpi5Et6M0X22c1
iDd+83Z8lK5AYzUEYwft9J7a/TWj02uvoUPHQ9ESCLgbqeY8BArpFLTlfXOgS89vcMdDo8gYjtbD
IE/C9Ce9889i3JVfaAkdFw1q3NPHHjZRdfe2r/pLCRISv2k73kmBNSYbcup5fyw3QBy9oszvBA0d
xzQAqiW9wdsu0dW96LeiG0u/MmvouGWj5q224GzJjf5wLPbU8l/8rOG4pEpBpXFILCKt5ZdxS9+K
I/GLU6Hjj3ZYJDpTkrnYpzZ6f+xzXLSWTGe/iTseSbpy69omnYspAJQAeLubtEw/+Y3teKRUzcTA
pBjkrMHtFkDr32hK/A42cFY9DYLY2MOgQhzJdZNs4JegwRk9LIuX49DUcUoxLXymaIDKh+Td2J8F
stg+NqGp45F1VQ90qPe5sAJgjpVMJouG5L3f4I5Prqi/7+jSm/KoNjerQm1/IO3stVPAzfvU4GDH
CWWgMLhQ7A2x5mtD99HTKo5fppTt4SDSKR81ecMw9mYX37Ed14xA/4PeiAhpY/AR3VtRtXcD3RJP
qzjeida7ReE+i43CjiQ7wvaDSmqvCxZNHd/cUktXmcLzN4L201NIy6Q/x7gBNV6hhaaOgxo07Jeo
1cxFRc1vwbqgKUR/8NqKLlhrISQcEwK7WMBEz4MFzRVIy7jXPQIJIWcv1gtHPnrDxLftje3Du+1K
TeA3c8dD0egRUl6TqRCSvFYAHOaC89jP4i6+ylZohU/B31GERgEGrE7tWHtdUqhw/ZMFHXrQ9VTE
oCI6rToaTxFtv/kZxXHQHRWFSeh5AsAg+VxN213D2Tu/oR3/3MDbJEUcjAVYgdBtht7sS6dbP2QE
dYFVPVu7dAF8p0AJ6Th3R//AyeRX9qfCcVBr4knW0QpCCsBfFFqFxuBVsIT7z36WcdwTxASIitRi
RZf99wk3uG0SX7yGdgFOMw6e2iT9VMik+nkz5jbU2m8futimpRQyaRUdi2MZ6nxZq/gMlrevfvN2
nLM5aDmNm5yKtDYnSfcHjebgHw999ZP/fFVRF8W0BsgHo41mLGq9MJuNYFl5PSRo51jb2O6nH3/k
6i/f+4jjpEx2Wyd7NhaqIb+qmn4MjHzvN7TjohsQjyrh5Qj/X6abZRqjLFqoX6mOcsdLq7hmIFWM
MXEafdRLgOaXwPziN3P3DN0GAwKreipY3NA1P4jdKZo0VS3Pfh9w/JTWVSWsUNiSW/C20fF7NL+/
gIJ+bkEdH1UNG/BgxtDlnr6dwwY97YlXGYq6mCWFRmA9LPsIPkcdF4GI57dRtTZeSF/q4jVjvoRs
abATy/DYwfMC2kjqCRijLh5Kb6CU26YaVI6LCbNw4Zdhrfyyw+h6eHr4zyO1Fq2gsMsevlr2+JVi
m58PuSiodK2UbYdqLHhZdRk/9lfp2PjVzUAH+3TeKXZJuMUS3AT98oZEw/0Yzp7zdrxzbFCdSNZg
KKZEfGyi8a2Sg9cjjoIf9kmyqdyolpVpxyKBZbIUIPRs2LXwi4cuGmkmYDRt+3RA3aYeTmMs39og
9buCulCkMMQ7q2PhUFQN0W22IlGR2zBI/AzjQpHaNgUqrd3hNyl6GYVNkp9VEx5+K+pCkZaWJSWw
dkNxpGN8iib6gJPUr3oOjp+na4qOM9Gzrcd2AdMTyBU60G5OV27MRb5wmF739HfOOeb4KOC5YVqh
G66oqnrlpw7Js6Is6eBXR6Au3GiX1opRl6YQwSSH07Ia/c2C2tPz0cgcX4009IRWkEgUY72DW7NK
2gwW+rvf7b9szaEu4IjzDYyQS2gKC3aEU5gAV07w+s28TjuXChk0FRGy8J0pJsorsBMfsfxN7ltX
eY7vnKZbA57HdYNt+hrck82sP2wq8jvzmHucxv0KQisLu3fC3OxTOF1WkGneeFnGxRstBNxhRq2m
aEt2fER3K8hjuTDSzzAu4IggTrJ4x7KmXTlMF24F6BFZ2SeD5wccv0UxTvadWWB5Mq234yg+1IPy
y82DTftpUOBSx8AYj6bgdH7XVNPbVc7v/Ozu3Hqrcl+JUtVQ8C79tevXKKspfQlb+0yocYFGA1Lm
IrDaFGRsxa8cRYUb8AssnlvGOVnnMNj2g7C+gKemWQLoSxbsAc/9DBM/tfm4B6jRK4zOQO2Vscjc
ye4lFBO/+sx3YrALMxoaEDsYEYMmKpEVWEV01yLY8AZ0oZVOK3mjzb6+s3pSt2QiQVLMdT2w92hx
48Mb5P+m8V3KdXIjUZfsb1oJxk8wxzVIxlfbINAlftB2GD+sQxzYU7gPnfytr2tQjyS4WMbgxEWu
PefGbvaswHaxnxJUqbdbOwSiLWK+1RSN6u26n6IQ2YRPAZC9+wUsShM/E75hzFU1aMmuBhB7oNsu
PuxFx/F2nKdFk+7XjVNavplpErRfpogNQyGOOF2KccPvPZv5YHkbLkycOjDVy1Oy88qiibmv0vsE
pCiY8nDE72KRrtkSJ2AHaqbxKEKwwO2XFbzX9LyMtGL5wleKFLaqF3qqlNE97rNpuoMSHrwyme6b
MXq1dmWb3ipQedDigLVX8A1LEHMcgX4YO/B6nWkI3jg024/l8U5Fbc/9biHUCZh6ozaRlvRFwuoe
WZ8gA+1S6hdvXKQXODp3XCSVKUAe90dJ5buSN37zdnFeCyoxm4oxb2bLYkrVXckiv+SgC/JiC5Ap
ETJIRZymW1YG4ORJVdR72sQJk2NYkUSiaFdUcdtmmxy+Je3od+kjTpxs0d66dDzsC7tb84AGream
J7P2C2XEudPUSRPaLk6moholvae4vwL5b+fPXqGMOIFy1BWoow34hKWoLLghB3DK607MnmZ3IuXQ
NTPaRNK+SJFUzljc3tdH5df8RV2QVwgXZhT8WMXeG/Dl9OHaFhsIxzxfOS7MK+rAwxcQ7EhwVbIt
j6fOHhkPGDiTvIzvQr1mDQqioJ77AoWqb6uhdywAH5rf2OLpGWXsOi7DDgbiOgSlHchN+Kag59HG
3/zGdy41CxsOstgYnOcDKHNACz8Q1NhFHPthMcBP+vQHrKZTUbhVuCBAiRYchmubN03jeUFw8V6G
r2V7VDjCUaMZT0CUJScD2qzCzziOz64hWqVZ0/VodFXqDvR5bAZ91pj44fshHPPUNqC9qgBk6hGG
OwsCqo6Ev+JNu/ulgmPHafmmh0NPuK8ilbXdlrS0BQ9n7rnpnXdITJRNQYOM23yjq9O0DuBXnrX2
Czixc7BGI7hfN7yTi2DvyB810OZ/HNpqP+QnhHOeGp7FpGvrVpqCJXwJbsF9Fp3AnLmyF2qHz/TV
gSzo6QfQblqWiRKgI1Ngs3xvZAMm0JJ34EJfpx6cN5N+CIJUtWfc4mR6qlI8Ri91wFjvt/ouPgx9
ukloW9w/wWYDLppAtyCg0HVn1MXLOVyAWAI+cLxZrpGpnKPylW4q9J3tA7hw/UKfCxE7Qjui4zXu
CkKiRmbb2q40ayVdPC9YkePeyQRe0w7sPgW4/gFbPuxHoPe/+lnHcW0F+us5tUdXmLGbTltFvh0z
852449nVcETTJLkucLe9KBBCxfHklwL4s4XyERRdB0FYrWAQKWa6TCcZUJQa1uNnP6M4Xj3Xaqyi
demK0o4C/IvgQ9Os8TwqXZzYyiHADQK7rmjGLfii25V8HQMcN15zDx2Pnlra9bSLdIG71gNfjldq
qPyqGC5OrNpQZ0zGviumLa7vQGYnMoiJr36HWOgewJCAEIskuiBSQCupFWK4A61jV/u5qQsYo+nW
k6QLdcHB83gaUnEjKWgH/azuuOhoOlBHp01XpLReobSl6YnP7fL2x6Nfb/bfeaOHjpOmq9yXNcL5
rg4KRvo5nKo0B/9g3+cgR+s7rzsWcbE7YP8oSzOPCtyU/Ase6q81rz/++Bdc7fCfv4BcqaQeg1Ep
5DJA568VOgT7ss3AU7/8sZLBj3qApI6BGtyVuxrkaEVqRInsziRudcKsl0sRkF09mXwft3YDWaUq
yqrGGz8CQS4oJfzCAcj+no4OalK+M4hDFdE6R/u5a1D8PbVd1y5+L10XGggZqFIkpAIDoiXgtcU6
tNeIGab92Wdxaej8Ah004LRPG4QcFr+zc/hzFZVepqehE4nBGTKLEKy46ORm7NyMqNAcNuq8vBbS
F09N3yHGBBJgzzziY/nzsgfmXVczvyY1kKU9HV01XWTDeFLXo1W8NaCcLeaGCS+jExciaJA0Ckt9
3fI1kk39IN4GFBS0PitKUicW233udrs3CsAPMHOd0FMKUlyVghDbb3xnWcUCWTbcbFUR1cl+FpBz
eNOjn+9nr9FdVBm4l5HhWofgXEEno79rwygEOaJh9gWH+jPT8p1o5gLLEui8baClRDRLLAOtNBTL
7E0jl2G84CFm4wu49JLpPDC19ffBjlfBveHtoD9DDBOibdCpueU02FmWHiUEx5I9kPIncFJuMeiE
h70BIXpdHl/6cm/sVRBx7KFV0m5fiQa37QLVzLu9qZcLKe2KIcCBUWehBhf2+zpCf8tbeeWpeN81
AoJveLBBPyPU43qqQyA/H1pTg7of/3pqXpO47JevfkZ3HujANUJ2BA3JeQXxrYcllel93MSV3wFL
XEhcH0jWIzsqi3gL/0ji4W0aVW/8Zn49dR9dJfHWvErYrbIgB3C2CkpecT+9RKRx9ZjvbRXn4LM2
0NUxbbIA5Ssh4FQ91HpOd6AeziteCNVtkiaq/uz3S5xjMBpSloDGXxaQDklyKlcFqQ9VffAbPX5q
p3ovLd6IRBZLT+tzUB4foXbykp2uxv6enZwzJAqrxoIMWBaJgm4WUNX0JwGu3t+2Ngpufjz/5z7h
BJ0Qak9VbAaZTxuRybmehxGqHcuIZPstSEzL+IVH9TNL7qLmAE+oIIOnqry6yjBeLNsioMMCBcG2
A+y/QHT7ZZWIC6KrauROylHBaF0MmmKafEQg8rxTccehAxCOIBHQySJCOW4m6wXiLS8E6GdWwgXR
cWjQiAM9uGeIKvL5NlUTu/SgI9/zpFpU6IUuIPz69Ud+zTB20jQ8AE0HiATR6159AuO5X2srcanA
pj2FntU+tgXnbL4Acy2yso78HitQHng696VBKpLYqC4aClFCs+z6LNLG6x1HuOPIYWIiBXGR8hwt
zV1YEmi2Jp42d9wYmiJq6mcMfRw0L9PhopvY631I/ixgPlrOHURozZTK8iyb+BVnwash8cviERdD
B1jhlQi3Kc+mXYe7dprmImDk3Y/DzjXSfyeyuRC6kvF62UmAzR5VU27MSEGjrujFb3THS8NUjiUL
g6bgzWReAfUKiZfdjxyWuBi6KuEVRI9tU6g9VhebQhYgHJQfFJW4MLpg31BP0WNTNG07nE0t7gM+
TrmfXZxzd2vBJj+RPj1DQqPZQFi+fjCjlH5JRZI4/ln36Two2qXnbhkepOqLduz9DnEXSrfXG2QU
Klyk1GybrLNXWUjFXoi8z21Gxz8XoPMPdPjBiSYI8QI1djIJGIX9bO4csBAcuur+mAZdS3o/dZWB
ykQ5dqkfIA2E1E+DYqp39FxIlqLRqgeDvFDl+KrfJNSKvObvouls0pUdH0h61iskJOVboABesMyf
qdrvBAEXS0ehzANyqqouoj0gy6uw0QwNRhW4PN+DKakvGpZCk5gPi2Y5aOXr9QR1XbaAIdMk+2Ww
aTjkh4mq+DfNWbwUpSAN98rAE+qckwqqbAeBDlwODYLxwsoZnMKB9KurQa/u6aKRNSaHklAbJquu
gbKYIeEHvTq/FXPeqVswRKAMma8vvXGubhsSCpvXk5y6s98HHNt0TTND27bmECGuE8TWvYVGRc2S
iHz1+4BjnhEyeMdSGpuDUR+iuwJ6hSalXkly4iIIcdtkxBBt8+hKWbayAU3mlHtBw4kLIDR8oZAt
xOCLBe20muiQ9Sr2gycS5gQqWls08tvO5lBbNScocLUZ8ntf/IzuBKoeArkhhHbmfIlrnYkgQO/Z
RkO/I9nFD1aAyYY0IHPeAxSU9XKsHiCoPf/iNXcXPkhXY0iUDHMepCjYQMq8ypud+RnGpStrxjXq
UUOec9Brxm86vckvSXhwvxucix08WL0Os12mvOsSdQLpNshsaOlH2EJcsi+7DqDM4vuU7zyCkl8o
xxMUNd/7WT1+GsWYtElAIMabHxp0Leu8fwvH2q+XkLgQvOAweigVxEUrdM+c07WuTwhqfsV74mK/
DrRBlM2CixU38RdIsbzTdezXXk1c6FetkXvsDbV5E45htpm4zMsSMLofG/0aZL9zaLroLxXJIZbQ
B74kpWLLm6uwrL7sSazGCx0NTsEff+Yaar/3GecKXS6kpNCLtzmLRXBeYladus36IcGIy/dl6pLP
c4LRIarZnAVgYKe033/3m7pzPMkWPgU845gbCMNDoHZoITNY+p0eLhIsNTScNWPQUpZ2uehaxBkI
jA+/48NFgu0az41jXCHAXB/qEk3ywxG1zHNJHXc9ak0P6BgOuRE11H7U1p4ASfWD/aOq/zQYdHzn
MxelyQMdjKf2MF1GzO7H3IQO6Kejl5SqMWoTk0Nprobkt1YnAeb6s9eOcTFgNtqRch4rcWnbDoqF
0DL8pQ27l6jkn3Ell++rJOsaWYCVczZG6Ee5ntomhuCa39wdR4XCDdLVe5peaIDU+RJ87VX33m9o
5yIJKbGohH4Gv4Dnq1TZcgCdONfb9MlveMdPI9VD7Dwc0wszugMAt92S+h6iqZ3w81WX7gvi4hZX
YZNe0imCIHR8B0lPv+uMC/4CEdcw7zGG1hTH3xUP0fkBEomL/II+Q1PWfEgvx5X6SK4RPdFarJ7b
xXHTNlT1fOw9PYOF66YbzZsw8WMTJC7sK2QAFRGt6Rkys0XbBfe0a956bZX/gHyBRqgeSUfPcWJ1
VFCj0Hddr9p+8BvfqUp2JhpaZXt+oX0E1dODTvTu2qr3Ep/g1Rm/c5q6eK4mkIaKtUwu2gQQKS6X
RT9MPKyqHH2qvLyt9LHWr+ej/P94XP/ZMPa9jzruy/e47JZ2UHj7bWu3nSLVqNjkUsLr1KUuN6my
odeQq8k6MuBs31qoBfLbXpmk1hc8rFupMwVB7/22LiHg+RshK2B3XQhIq8xIux/rCqnz0Qz3MomE
eb1M5Rolt9Bv5YPMxkNVEA4PSdqQChp23OAi1CdYuoylQ1/9ZsZa2wiarbzRt+SQoHs+73jQ8+oM
Ebd1PMmdtNs7UMitC7QCJSR+QPMNTVToB0apDRKapTuo4eVNZGQC6nuNnOWsM/QVKIsJTrzvPhho
m1d5y1vxTRuNvx7tQJdzArgvyaAiuEioVEKLsDh2C3FQ3JHJ1P3WI2nLbbaNURhBc1wkVf25a6Cz
+lVDulEvaOQ8+lFnYPtq909XkN6NOTRkkTuQRk2ndW2mq1YeGifL/EDJBuJ1cblNp1Jgp6WQH153
ps/xcrDwVSSWJL00zB4afWFDv99AJaA78cQsyes2tA0UGxuyklPNkwG3MKHFWWgQ4GbbUCVDB/xm
29fVeU7xaOYnZEi2CiJ/49CNPBNxwtE3sjRFSTmujYglibZ3WK2+brJR4GYHEdtA6bPVXfzrMOsE
EnrHxr/a5tjJxYw9kw/HGIvklxoqvvyBzCUh90dZQwfzrA70qNBLulpoVKJ/g1sF/WwusF6maQwm
V4VHWtlLCFZj3MZ02B/yZk/Itn4ZhG766tQvSAbfcnQgQZN049u0n1RHoSRWieBKA6ms6tYAXSwH
QFtg0OF2sfmOtez72xhq8Ed8m0CSvs5kItNLIuvu1CfbqqEqyvZgWq43y2V6FdpJ5uuIGPWQ9JVt
329bXHWQsLZ9bC8tgfTzCdrLNAZLbL2rM941tfgsZtL1r9LtQBKoZqHdxmw1M5L5WSoYj3GDmmdC
yCllhLRvIynG5AKCFbm96uI1QlY7nMGtBi3JcIZuelaH+5RAw7FOQLIWKvslVgF6ZsaFU/OOMx2J
c11OrP2Ct49QcBpN++U8tayfHqQNq+Q94FmDvkB5HW1CKQS1oe/OoCB8D91NefzedKq36JgZg54+
DHDaOu9Mvce3Rkft8LEOtAhjhDcJzeWMa5qaB4jCyugLbctS7FkJOcaqWNcFurZQT6T9p3ZNdnYC
532IbvRqJVEKameWqK/lvFayyuQgxRdGksF8RHf5ARHuBhLAWIao318D1TdBSTHuA/oVysTLcatj
s+/v5RFG0cnU8KSvLcU2v6mgh/0wp2F1CeNBtD+J0fIkD0Vj6p8HWW/HmxUNHhC7VzF4A8T5ykSc
3E4rBO+/SVRu6ldtMpC96PtW/S91X7YkuY1l+Stlem6qQZAgCbNWPZD0LfY9MuOFlpkRAneCAAgQ
/Po5nqWZLuWUSjOyeRkrmZVSGeHhQQcuLs49S3WYKQ/V5TLzlBZtHMX0c5bQmL+HrqtuICEPLjBG
2r5B2jLkrWOiFDAICpBYuWXuAhkSdjvCPCj61PMm5qXsoXS8T33djzehqJrw5KZm8btgrtv1yL0i
ySFN1o68It++qx7qmQtZSG8CeCK2hCNVmw8Jgvzsppm61mQz5BTJRPbPCO6optuF8bTek7qb0tKs
rUXtdCxT9R786VBdz9wm33p4AoxFBdzN3dYrUSgl9bS6XcImo0RJMK2yl10Lg+N9JRYJeU2QWvFU
Z5rHp0FKmZxzQFXytUaCr0Tetu4MgoXHELnJkiLj9qT7QZsSEaUkKI0eaZiP/ebk58hwvIOSERHC
znDFu2gCoVXershx3Y1nS54chnZbdzM7CNN2TCr3Rol3CeLVxAhfTkRBJNdol8RHhS2cFm1f06FI
BsemVz8jnxEGR8MAyzOEym9bc3IGKtknj3w6JHojthYpypDiSjdNeWtwTLsciLfV39xiI/aCCA6F
A6GDWw1/6PEq5w9SmkXtEOKISedudHRgObSfIzv0POTdzloR9T4Xocm2S7ci+rPPEcXe8SMiy9Ej
QslW1yeNlLUg31TTBI8J6xQt6zhZglITG/Iy9dvWviiyRe3Rms3xwzJMiHudHa38VYTwrjsS6rZ5
BIpMfZc3fW/4Hq7xwlzwDjeYGw9cKdvHXYPzzlQVm8Hzjuv1ahCk7YppUyHiVKVKA+gWkAPdOKjn
Nh0+GNINEGOMMeKcm5Wk9DhhZNzeTHC6a+bc+hgBOvAVz2eneHgKI67NLdNzMH6hyBPvr5I+0lhj
Yz309XvUZxtWwgDLNr2bRNbYPX6ztd2xoYv1c9LZurpAinobnSCiTfrrRVFkbu1QjvqkRFRSVH0g
13mBp7muW3bUUyMEuM1QYGGNZPBRuqhb4+VRtkMEzjAFh5jstETqYW6NH+kjfmb2YsParG89TOOh
See0nuJihv2iKALUp6pYK7k+tjQx0THjEloXNo4gqw5WIYrYy8UgUk5NboWAxKZhgYFCVt/h7TJ2
uzovmmMw0hiTo6bqguVpGLZpRAYvqTd0ReO2fsOpoccOHqmIfL4/T2oiUkT1nG7XG+HxoFGJN1+d
shYfPYxmEwSOXTkU5PkW6RdanYipuTmuJuHsfHKvNTwBBB6jRso9xy4n8KsT2znEunHe30d87XmO
ILMs2afxgPqWd5Fr1S0xYTZ/2ZSWcZv3xq7s5OOIrDcxVn/9qdUrImjwS0ZTddsBDnMPWYeHeLHR
Vq3lGC3MHHH+BxIJ1QY56ju3pakTaJ7MtOHDVMLureuC4TkNvRnuLJ6ZvZhb8AdvW9vUTRG39aQ/
rTKl7PNAU58NORzCyCjxpKJevI/wTCV3cK2P+ZcJzivd29zPHcX9CoaIUTG0tE2PQ2q0R/9WkyyZ
8jlYPI7CfsXxgW4PlrFJwGxaapg0TB600TT4Cld5HxcEh3p72pa5e0oXrO8dIs97RFOvG+YvQzrG
r4yCF1FEPqsQyV6fk6C9n9LlQPuUJTaPVjLMN7Kea0iOEU2+7CVv++k6GqQL+jyBAutLOyHffc/C
Jra34UgU/HcxZ+VPcTa6em97JOXczbSOPmUaKS+ljitAAVkTmOTGj7JK90S1jt5i/hSND32X6u0y
bMd5QsGMsTdAiwdRLTt0MFFV19XQc7kWWRyLOw/mS1CsSTPYB725GYJo6F6pK2BjWHVFysNG3nYa
GFNeD6Kfd5GHrrbfQ6IW7rIqGsdSkYrik2jqPryOF3lOck30ufnJwPatRcEzy2g5LDMJl7zbVv/a
Zj1ckxCHDdXik4S4LXoROpmu1Lig4ypq0QZF2MIVzheo7jZPXRKZV7rA9uAoEidx3qcrQZseQcAr
Te6jODCnBm+B3C/TaNKCsgTx4L5exkO3Yqt/ZkQ5u6dp14dIJkHk9EUYN1FWRj14pLmOwm3PcRg5
kytWtfpmAXWKjwivHtL+qkPi/W3mzwGom9qiS51lHdllSLBZcYyi5SjVFqPsu94G4tQlIzNPS1+F
9mFUS1hg0DDTN99XzhaVq+Mj2jWkZnZQ0UyYuuVqRSJ5bSSMNWLoqnHYRsW2GS7zCWFISWkUoUeB
fuDVDWl0KWClNOTIGZ81QuppIuDZKmk+TXGbXGRO+PcY6p/2mmLrDIet1Ru/ngOq7oiDxSuuQJG5
EklGN/ROYazubCDBJDdrWiSQkV9jKAKxNsJLI7iRQ4Z87VVGnycXiF1H26TLh2E1l7br+a1AaLct
Oyzjgq2LK2hdNcc4jvnVkgh/IcK1f/PCto886lXRkOS+Z2p4Zi0feS6I1KCdLH3XzflKGu50LtDt
+r1Hepw/Il1bvCQhIu1N6zOOqPM5KYZt2db9qFqGjG1gwc8uyNJH0TuwFkpqxjQ4VkNqHaLEsXIz
yOR9Td4bU3nzzFiS+Nw2w5qByhla58vm7AdwQp74BtuUTIVeIll3njVi4NcmmtpSJDYMLmwYQ40N
WakjF6oOK36jg1WbvYXOn7xsSU+TgvvYmssllky8oXMd5h0zNKBH2cgmvmpX2yPsVYwWyeahVNlL
tPSS3M7REskdbBr8CEsCndSnKbC8/xzUyBJuC+Yb1pREtwhZX1iDVpSbJW0K1aNHcXkVBRGi0j3z
S/NtzRji1+062e0rQqkc2qHaZAyru8feYoiGh2Co3cFFp6IHlfVNe7+GuPvvpjGOhr1JUXdK3GhE
eprP9LvdnA40uoWopmWX4M9GYRnylfFTCNnU+msDfcBwu2iTSVJ4Lmx9oWcdkSSHoUiGGePW0t7f
42qcUtyCQdncLrXuNepCPaYuvJYDtuRjh8uq+9yxjp/iCXOmSA8u/RzqqAveBkwpcU1eJ4YQRIDQ
dYHVgWYJMfEW1V2rZS3tIFT2mkDTb14yh9r+SeuZ07Zk6RzgvKpGFtjHxG3tKvKA0jTKjanUUPAq
6umN3rLV/xpD7t+/qwZqtl3WIknwwff1ymE4wCZ1h4xn1q270cLd9cCbgE53CXYZKiKJ1JyhPNVr
CrCwHiFrPrYRqd0x6uqODGW8KbQAeZ8kiYAN/IT7Bzq+di68ledeBDEuxt23RinhDrwTnXrpdTDZ
/dQGhp+05gvDJ7Zxp8qZ9qt96ziDFimpO67fjOtmu5eCDEHBuyW8bGZRJcWMabK58m0bC3wkaQMx
oAbKXihpZzSlcwI7mZdlg0suBNJzdTUJOh9ctWYPc0S9QXfAtk3e+r7vc4W4zhyiMLFEyBfL2mnv
XcZ8IZBwupy2SOOCVvMlzbVxUyBzsxin79PQpfWvFtEm2W7rCKnLxJ3P1VxoZEwcK7TZVw2subDq
onCILqoWkamXUvjplWd4CGVkTBz2OWnAG3jR/dYG6FI9CQ7rhnV9QB8QphcGR0D7xbmoOeAKEPLP
EyzO07pgXJDmQVpW17CEDoekWXIsMhYVGaqqx20ugHBuS+uwuclaR7ZCYcM/dyEbdn3VJCO2WrVc
TAQIxjXwiojdZeOadBfOKv4VSMwntB6GJohUSUABn5ARQx9GKqo3+Fm0TSkGFMWmVd21MQSd2QaD
EXfq06wu5OYROAL+Pzk2qYr669lEur9W1aIvFymn9gsCos1HMHdal+sS4GOM1/SlW+LzcKfLcLav
sXtJ0EuYUmwzenXwmsya9y4d9hAr8yRvpRPoDTCqtAi7y1bgtaiEGviOaW8c5AhIYMzOSA+E3+ql
QzOWUwYG+glQOtdX0ZzNwV2UgsQHUlA6CnuyiRCmx4eyeKKh6K7aZreSKGvTXZslzb2YkQ2/CyFz
mH9dLe1sEdRArt7g1YCAWsUyHe/GmnqKpdnQR9XgPnLwY6tz2qKAytwuCil2gi71t4wNmr5Ebqlt
4Qcd4raTxr1d89ZmffC5acLqa3ZuTY7ZCpX5s0/kh+l6E6Pd5XOIZnaIu+XIkQmSFTxRw8fEsGXz
DJEdBWJBSLzreZx9B/+6aMND8NkO/pZVjKsMQtX3K01d+kmKgEN/3PAKyGDABzgjaQmLghJNyeAu
WDJN3/p+jULUubhuxxc4tfG2oKp20bE1sX/H1Vlsl6qn1cdQ9xtnyP/2ll4NtYvn56AiCfsIEZnB
3nG1rIGMtIJd8Ul1qB2k9gUV4ezuFK9SCakRZkuxSAS5a4IkAZqN1oNcMgdD0T23KqHlajYS7Wxi
tc37YVkf4Ykcxq9ScXsfBLF+zao0fAaBwmyHqYJa5BhMuBiv/bDaXRJnMPTdWitf8cy7yzHsQGtL
WgRww+Mknk5TzflcMDkOLpdB1X2CUnfNZwaVj5SxSy7VKoO7NHHrdcK3OttPFawXdj3z62FGrMQh
lD05xYhJRs0bI/1Sc8H8rRQT1MPWwu8nZ/NSmUe3wOL1DQYiuJxp7+L6E6DhKM0T6/EcqGtblAUe
hdGEjiOF/jgj5rleEzSJEaAEIdBltCyAPWy6BaUCDZ7tWCaAmzjEqyOnJFVbc6CSyBfYr7fdA80m
iMBXJDA8NHgjedTYUC4FyrY3LlfAxqJb2dVpXEQSb+d5mio37du5auuCxql0X89c19M09sNwuabp
1uNndIF+6MLY9beRSB0aNt9E+yyTwXQEhTJ194Cixx3KxDjuFWOtLmlt+xB0OQTD7iZHUETgj3GB
zwJwRCXZJHHddiAtW+/Ngw7q1hYjW8L+IgjssB1gP7a9BwyxSXmPaMhLsU0rtk+V4XF0juw6Hi/F
PBt3EU0hGs66GS+9rNkD2MszFALwdwTOAaOGKE6rT8EGOvk+g0LGPwNnWi0OIk3Cd5MpQVNk4HQb
4AHdL3I8jZhQNG/1NuuhwCcFwXvW1ejMUTF7OxT1XEn4l8O8iF/DIi1LC+4SuZzWKZ6zQ4pYbkSj
VjbJmjxgsD3cOx6dN2HQWiGQrjjjxoTi05Xtprk7GYgyeE6n1fTYxph3fSw4O6uTVIaI0sJRm4CJ
OdA4fJlidGildVzVRRrbBFofk/jupUlgU1MS+M03n3oAGnE+jEtdP5N1Q/UQQZCEF0kaDqwYOO1p
OQENs8U0WkBbOURQqyhbqNDIbSxnld0jEKSxuYcLtNwtvmJT7ukWo4PhMjTfAoVUhZxB6sHvkWVj
00PtpUu/Jfil3KtGg5pcMR32aRH3aUfveuEITJMlLgV1o4fhwUPA3+1pq8ngcwaxvQWAWY+bwEXd
AHLAol7RFCI2vZqRdc11dV1PpNlOYUzW8ZpL4LR5IiMHv3RZqw/Coqa+oVs1gtxTkW48LpkN6B0E
dmmCPaWizWH+M3q5R36jU3vQxeRQYKrClq+jG3SAgMTNZKegB5zyifTD+RNKcPEpQ8VlC9UiLmDD
zQL8sCugrzB6yeHFEtJLklCGyyUzwXhswLOwXx31XJdVklTm4FCvXamYlN2uj6JsLikSaUyXz2rw
9R63wZ5fVjHs10C+7M/xYEhLm8q2bvh6URmSZgV0IoKzEk4MBBuqqQbMszEKncRFYtdoQ89iZHwE
SDBhWj+jt8uBw4ZdDmXh1pYzlkG/j9clnD/ShnV9gLtDGJsIebcwMflVdkMPPVeHCZnBYTqgT4yL
oFf8kFBJ/XrqwizKXuAZPZgrh6v9KvGLN3EbowdZo+mWpU2/vgb4bXiQ16GJpmV/drPGhdRmm41v
lvMN+rIKpm5F8wW+LAymfCXErR9CjcuKWqIEGzzugFmlBWYtDLdVogc+fms8btcgyPl0IB/K2GBG
M5AyXJgmA7mtRVrNpC40n5bslqF4CLSKWbu9dzWmEW9t66ZuH4t4DByeroxGZDEnqrmP0e5jL1Oe
xmwv0RrNH7WMmctyE3K4Nbs0XrKnEPhcg/gX4P/mK1fx0r3IYJmCu0lg4HNvzxdVOBb4rKdFamf4
GkM2J1V/qgfMvbBIYhntVYqLT7JDjuIyX0IBKJgrNsyQJtx0G5U2aUlYYrJLJzFJukJ3nSVXaIti
/Tj2bacuUhG56RQsyEp/iwipSJGce7b9Mg3BkvcpdcHVROBOdR8semlQ42BDX3B0xuPOL0Ombhpt
IHQZGEnt09aDF1hkRGPI00T9CIsZJQLzLUu0rJ4ip1H8R+QbtHa7CDbEd6Nlha9hf3JSRB79FCKu
izBdzXL008ijowLK7g59l2zkBagiYxdNh0lgIckAAsAOwlOishJrcwO2dUbUgv2sKF2KKBnaIMee
u06k9jFmjQz2GHsSglo975sgxLwnGTHi8XmPiLUs9/MqWanqlMVHsy58O8p4DcgISzfqFg5MTyAr
bVp42F6xUGn9wjRc1T9SES/DFRrbJt33rF74o3MYzZS9yFoBdSIIaXfNOPbJZSX6sXt0GR7MpadZ
py/Igkida4v3SpFo7jd21y7pIC7WVvHuGRe9prIFWdAtz2U7ZQNg6xgebQ0pFmxmGRTw/ki8LDEH
TDO+70AHPFsYp5/hYEh0WHAOA8xhN2AUpJcTGjCFB2vSVqo7nNMjgGeQcTBKQ+/G/WOExw5xFWd1
tz1jelKte4udvOfbll7hEp0ElzSoOBq7hMC9jp7HeBk9kDZJ5KFr05ldbf0EiW5I/WQ+u2bhMK3o
FliH7I2Qq6/z0CUsxYyTgnRFZp3ZIgGwod8GC8v6uwm2C5ruz1avITCNlSHcPVMbt23BB+e60g/q
nChndHLDVBWPpxjicnecR7lEpbBejldUw6cGECnBvHXyKl32DUD8MA90GAZ7zChNU/aZ4Lh2yllL
dEjR0ERf1hQp8pfVJtr1AZYMsQH2Xldqe49GFomvsptIfyIRpI4nAtR3voa8XJmnHpbU6G1GFq9X
YRxo/6ufWSuvvBeBBsC30qzYONqRHPjygtlKozXIfrOJrxcyaFcYj+DQk8JbaMtlo7QrwI1PMDOP
4zNH1WZ7DnrwTW+RDPxMXCf0tTJbOF6kiL3bzp92WkHrwI1HMrxO4/YrYL4gKluWBVLDrBX3mUKP
WO3DDp11hwMShfR8zXdKulseKBsVPghChc2SzQpyCcnOT5BLwFXoJBTjtzq1fQBdepM278v5fHxP
F+jsYW/AxGmeuA9zgnrXP0ZKUYO9J9gwm1xmGkJ/QEwIikpr0pAyoiwAvSYSc3VD69S4PcoovBBt
Pzb2w7SrXK+mLR3Yq1qXJMblZW6XC+/TbX3N0kHa27OHY3TUw1LlA8xu5hzdqDiD5XK1OHMxwLzL
vOfpha6hNLjBoGSABwN64w3Q1twBtWIIroyZ+QLh6pzlEBZRt1sT2QG1U3P9AJpEiI7IIpT5oQWz
EeciMjbg3chtVvGXVBIOuvZIMM+yh7FS82TyBnq/OJ8y8AiiArNvtXwASBIAbwHYEPMFaMXWBHli
0L62OUOVNcAQ+wlqjxwm9bh37lfIQxEONK5xUn+GwtovKl8cQmzmw2ANa9rCzfAPRx9KkpWFpYpq
UDnK/9DKwJ43YNkBk6rIFASMIJ0HmZmrAkbJ0XOE7w4urauFPPH6jP0KXL9Xea6ZcXU7Ua12QAu2
BUzloApO/1EtK1m9jvsjjLrXtSRJOy355mt2i4HVuJRJBfH3X2Mw/egslPh4HKZR9zvCP7XxU2L/
GqXrR0Mh1kcW4xq8btQ8ZAAtGvYXJTQ/hs5NcGvkVZOmexyTBCASt+Rao1rrP9Hw/oFhFUYGv2dH
AgqjBow0TCYC7L+5nhpzObhgggeiVhKAE7UtYgFSPtO7VQO6xQWrDUgxBSs+p39PoTqziv4V2+gH
YpnAiGZtApXuJ6SZ9mUDZcg1yINzgX4N40fM4rI/cRr4IzLVD1xQNWssNXCK9zAEmNNH46dqKaVA
n1s6nExwJ4UjSY+udPXjnzzhP6Bw/uhO1IIfhtOEsn2SIZPDwHZmNwNr/pNf6I9e/Qf2mUSin05r
zsAcGb52Knxxmaz+hC7+R6/9Az0Ubfo8SFGxvUfsR14rf2qWPvqLL/4Dw8yEoRmnJWF7YNA7DFKb
vAqBPP77BfVH7/wHemi12sYw3iR7QQKNM91WeVjj9P9rr37+qf8knKWdjMAOwnOh2wBvXsORMrlN
j//+xf9ghf5oTZSocHBybbFc6pTTdw1MyRUk8RS5QhkdZC4XsLGPUAox+Zfi+aIf/WzqTLgUNkJs
jzhU9hrPSt+0IeDVf/8LfS+u/2J3/+hmk7Y+Aiwk4v2Q8RoINB+9w3AF//vwoUleYnTe+C9jHI7J
oZHtU7s1TyFWGjtWullq3FVEvUM64/tqI0Q35yZFS/aPd/efvzOF13//L/z52yRx2Re1+eGPf3+a
BvzzX+fv+V9f8/vv+PvhY7r5MnzoH7/od9+D1/3t55ZfzJff/WGHvtz4++VD+YcPvfTm++uLj+n8
lf+nf/m3j++v8uTlxy8/fXkfmrHEpUc138xPv/3V6f2Xn8AuxJjkrE75z3/+Ib99xfm3+OWn8qOv
m3/9TR9ftPnlpzT9GSIUFrIkQ29//v+f/uY+vv9N8jMIGLD4SUNOkSF2TmEakXxa//ITzX4GDBGB
IhNy4BfAC376m56W3/4qJhTfRZIoDPGK9Kf/+ebu/rFW/vGh4In89ue/jctwNzWj0b/89N1A67+X
FH65jKaUx3GYQGWJQcgP5bwZGchpHGORRgHJBmllxkDXCveptsbegij4tAQqeBgjg5YYA295CYIL
GA3gp3ZoSdv+89Ap+wVdVXOqOo5A8D5hmOnyJQekYPYNCGP3a0LWB7x8jebPyTsBkPcDd5CvbtHg
O24cIXQtkK9kiqc7yV31NFPMR3EX1K/RFA9fpgzG2AFA5VxXXXfnJ/bQTb29hEEkqFZR4l6iNiE7
0m5VLjCkKTkIF4/TxD8BXouL0IGROXbzukuCwB3ICB7hSmlTai3RtPn5kQxRfSbqTlBNGP4g16Ar
l8XMj/EAC20t0IsLhwjyTBl2BItlPmDe4V5xuIJyQ6v+V6Dn45WNRP01S4YZ8IQ2X5cx00/tQge4
9ldgR8QJdLyxjdKmbIc1CDGfqsK3rgUEjozzBderjF+5EIyZApbhE24BmHe8IQGkgQUMZ3GTgzpL
Pk9hynNSSQcCGTSmU64su2YGwRu5T7vsJQt6fVnP4YA+I9ukhaR6ginP90X+/3qzXzffQBKdfjU/
7vbfFYj/j0oC7EjPNrx/XA+uv9Rf1BddG/Xln6vCb9/3j5KQkZ85oZwQ8JGg6kzPG/+3kkB/Thh2
NQlBav6+8/+7JNCfCUUpyLIIuz+Nz4kzv5WEkP2chIxxkCIpRVXI4v+bkhCS79Lvfy4KmILEcRqC
OouaFf5viWJIDctWjPTXnTfQtB2T82h+tWfu7FbHv4oO9pyFGVIelSu3m8I6tDNIgoKElzxIgwbB
g22Wd6Nm06cB9YLf2IWcv2LU9Fs0JyEpmy06pWsMKA/3YbjR9KlQNTzP217eM5D+XoOYNeKReFCv
7mHj1GsMGmFeU8BJ0lmMVpIK0ErvlAIyKjlwOtjXd5iegKoHpgrF+IbTAWRFD2eXtJjYKO5GI8Jf
YWEfY9KOUIRi7hZ+mrs5eKBdHdCbpdvsUILLG4ND0IRzd3u+cl/BXwKUc9ZjIhiOyl1g1gkOrGKT
rW4qhDgAh88wfAAXjH4CTObDgwvIuuRzSs+3wAqA1QqCChg1q4rbK1SAUBeoDfVQ0G4VqpysjmH/
KNoaLCjQYPYKhwQp0bCkW+Fs27S3oBsQmPes9DkB9eAqIJEX+w1wTH8M0Hx0FxhLLWAjnclFeYKy
LxFoDhMbqAqy+J6asPNA4OIFswdWl6bNBJjUgt6m8Ea5ClVWgyEh5GfEIn9jgCvaHP5Q0wKY4iz+
B1/F5Og0s5zHffOKV0NbaIW6qwAOTCfWS1zVN/BVIYskIn7oYIwirkdRuaqAdxIIkSCrRvo0+i1Y
925KJrAVEsK26xhTquBCpKFMCuK2ODgCvWhfVba55bCgc7bXlVo9L1jTaFpmuATcjesaugIDBT1e
YSYGLQRoJGbMJyvDIzPgCxbaN2BZkLjDcdWtAxxw4Ta42B0b3Xika2ZMibkanXZio/h3YyPvwYyq
m2rvu84CN/KT9jswU2i4q+F3QPMYcNiTRkpEf2zXKP4qgQk9D5hAFIlQ6n3SVbheYNWBiEGGymOI
rYxZSxZOoIMqspxErw2OtC3dVEECOC7hzl8lF21Loq+Sh8t6rENQH3f1KrQtQezAJ+ZhM3iBiQaK
eAOrkCt0MPW9atK7dOySZ63h81yYag5OAr48IES5lOQaTJfXbGzDh2Cp9dvGfXLJWXe0EwVEBsZT
Rh8rHBk1pPGNQaKcEmmSh6Sb5mIh0j82Y7S9Q0W7XdszlawA5bcOb9UiUpCXpg7gCx1xrBw3IoZr
3nJljms8wRGetHb4bIJtvuVtSuYSUxIgnRX8YKYC3jXx0+zrM5WEDsiVyYIMcvSuG9lVbOBwiCsk
+DMYAwQivFyA4Ky5FkN8rWQISr2rJ99D8zI0byB00nUHMA2rPRQBwGcJaLac5hpjjIxUL8EGDvqW
QlkyrNP4DtAVqDjmgHtRxesrt9h2s26z9BBi4PLZ9wL7RnKQdAXiDYs4HqbLkfT2SSM7qc5736MW
9Bi9NHEc3SmQUlSONOj2uNhp2MEgH2wnxHXQ4TjDi/Y5HDp9iXmueGMdrfluM7Aeuu/WBrr7NKpt
dcAwz+0XilYBk+TZ5y1UrDikSbhgefTzU4M28rRuKc77uB/BCqgTBz+kKk36d8lqdREBYI0KsFi2
lyUU47fZTpaDORmt4oB7bCbLoUtFkfbO7mK0cjdQtQQwMadolqyYevcoYS32XaCxxiV49XArVnyY
MQ2klbywoMYvh9UD6MCljMi27KI46YqtwlotGEDgVzitp7ejpVPB0yZ4Ay0/HZ+zVgekdPCrB1Ww
46TEfAcGmSmOwezbEPgIsP0WHTAdwPKsX4Gvka9m6cGtpFO7i5tO7flSz2WtsyRACR+icgob/Eh4
SM7HJMaMFjcfWKGWEFAYCMQ8H5+mdYnQ4MVy29l4rh4GH5An4Ts80YS61O5GME3dro/b9p4sVQoA
nVALwiaGBsFlDOLul8Ri7HkUyJjoruOo2opMoORglBUNO0kBosPeUy13VdMJDIBQ5kor1tCgXjSw
K0V+C1YieMeAW8FGcc/cb/OGehU21f9g78yWY0WybftFpDmdA69ANFKo76UXTFvSBqfvcfj6OyJP
llll2j237nk/Vi9pVrlTWxHgvtZcc44VDnzyCkiKI+9Ljf4elWtddREQibaN5TrzF7HcjHk8m2i4
ADaPeV3WMnyKMoMK4kL5Fvu7g0rJXc1pFjBoUfpUjEoceZg342KqzfRC66ZVEYPXYDhaBmtu9mPn
BkemRepb6qB7rae+uTfmUWEm7tT2VbC/tw8bzyV9pPPJb2J+xFhF85QzTq2dojgObkkFD03szOeQ
m+WEPiLpXVJbU4ioXeV3Q7GtFAi9bX+yMoOLzq/r9mlt/OG6ERgIYlmw7pQZHkdrwEKpIJy9tLrR
slEPtp/NL8vaBJfFmgY2wpmxPeSVIGeZ+kwfrotgW5/mTfggCfOC6wirVNcetZz8H29x1mNlp+YN
DlOm0I2xNGVIsGnpwhoFlaXns+eHptJZcuusuV6PzpS3wd3qy3kODabK14bdB+/SXd373ILaZedK
o0JUD1MVKOzE25jFSW0q8IsM25N0No65KkXoT/pX3pYI9y1npiWGwv5gGuKXUWpt/uuoJvv30CKV
ZI5uPgtjw8fQdHNxITQ8Es4Y5HlY74+rk0/I7BPjphV+bDRrSz0YXe1dmp0nrMNs1xIfs8zissz7
kF4rVVFHniictjQoQxaxM2DsXMjuXsJcrtuSPhSpJR+c0qiKD2au6ZWciyWSTbYddSUYh7UBTM6s
XWwzOntTD3naMN70TWtkf1K6nIxsSfGAy2Xc1Z5avZ2ZK+9m7oz+ay6d9BvzS/aeDeuTYXKxYmhK
HcWUs2/2SrdOTKpKbJQeHub3nrOop/LarPnCqUf5qzOyVkDtKy0spnl+YTqre7D6xL93UIAY/ijz
qZR2++Ga2dDcsFxx/i19r16oDQqrupVj1pdxli+G3LvWViBrMibZkQ5szGPjFPpXaqXB90LmdX7B
t1Krg2zM5rtzbdHfL4nleWdqixdcOhVT7SsVmHyMKebhNXRg3XzbaYkfPHBwp1wkonRIz1DOMWk0
myq4rGt7fuwEs+tY4d5/XIKhsS8aLavtAWPkAxOBorl0e5aehnawrPerZ8PIsrfs2kSXPSqXhXBR
pvuRtXxcWSOM+xavRqabyOoSXhMKceIkW59dVH7qX9a5oY5JsNi3woHezeRkaXaj1lOE26jcBYKd
ZGFBDfLdO7Z+dmsv27EfxIo9LI5U0Y3/Yhh1shINEv544dOU159rjdH6wEEbPK0qd74n3NdtmDp9
fYsdrnuZNGb/3CYYc2kXa3k1WI1XRmSGzFdL4DOR1Go3w+imh6CcUzLMVS+rg1tJh2mApe1Qr23b
AcZpnS8uyDLmyvILNqIY9uuYDJ9W3yVZhD24ZJaCBIjRoOteTeW2BoHSzMNaDQdgiQy11i9dOqVP
DOt9wNYSJ62gXnxculK7Pk9yZ71tmMuioMMm8zWyIYytvg6ncYJfj5r809SbjKY1e8wLy7wwLJuT
f9SuHVx2LCyUR7GZ83ZVmGWx7qsSM/6NamabUN9ieHloOJOtjlY7yG3PP1UeZ543g0Axaz/dq25q
9wNULn2aNn98wgxcuxFgWetR5TgQY7IuKRmgon3o1yF94Nnfjtu8kekqfK55lnlP053CMREx7W1P
8AntvWVQFajS+XGktAY8Dz3GmN7P3YshH9bslaEYPsHAahMsxi0G13CzBdZiosN3zqJjllS0oZ4m
tetkpi9FFTQ7Jk/4NwastNOi8EkMG1merPT6ILQz173pdDA+LFBTWQllqbeWz/aiRhwpmMWz7Pmo
jMCQMXEnpXZCZnYRObNhvGcjOazL3Gixtk925T0v9ixFXOeOSQKln5svUfoeC6y4aG+wPNCcNd45
PDyw1upRrTop940Kcr5Cd3vHpbN84FlIZJzjajbJelQY4By7HQ6O3esPtKBR0I4Vzq3KbPFEgcsJ
ywpTivWpzy4Tu9E/VdKtezallRe9mWzqOAeNc03T4CfEa4DM5E1rs8yNdiamyNi8CKfx1EdbofWH
ttakDS2maxbfYrKrSqYLEXHebQy9wi7yHS8z9seFLPYvXl95NWDDRM43Bbf77NTpMcmyso3nrNwv
osN4jT2qurVIYRExZx2TiSElI39ORywYeysjp6uivZERTe4GoL+wPtyRCyzaxon+Fdesk+JCLskg
JDhd1+c+GUznaIysL9orsibfgJ3dixn/2XvFspd4yNz+WLQc85tl98S1V8lZgwq262uUtQpnYB6S
SCISvOoJj2dlyeHDMbrkNvVm9yDNPnvplV/6MX7vrNgneSnvt35shsuusRIRD0EiEyKqtdz5lQ5y
hp0pe8SILlDX4NfSt36LOh0xrg++VWD7j/aQPuOm7MvQzWUQQnGqeHQ3b48CJg7kSvzLdSCHxvii
vsAk3t7hmRFx20tJenB1y3IHbHp46Im1hzaRVFIMtRq+8jGT4z6wgrE/eiN2RFr28Zu9efOt7nOC
QOxA9YrQbdKUS1qv4tMZFxGXfA+/MWZuD3PGBU81Kq+cKZP3eZtijcuS5ZpAwSn1AnfEvIUEjsN2
ZiOD/BomCh4WznuhsurlREL5UVmdOAx5ScU7S/t127JvHjfNZ6zccJLquyR+cTEkdhWXyufzzqmQ
tSlvnMpoLyt34C80N+0dlhMuUEKkH9QUUNM5/OSjU3wKy3WhaCUuhX5tx/C06p3pNO5FUYv2kZ0I
4kB8nIlGkMVNM9gHU9Xe91Qa5jERvUPCtThutU/kT05FHgPjqfd51duPvWmuJ2/zxdnAVJ9wdC+f
U98msZMUVUXqYhX6SGiJsA2H5PK1TRL1sC7MLhoS178ci46ii0hyXrK91ug+3UL6626TmEnWye6P
DFzNXSFt75Bj0D62yUq7P7fFHcb49Ua6jtuH7lKS4GMYEYT+Mm4/az4wZy+oICPXqfynlQDL1Wq1
OH6G2qEnLv1oaQsRW1TyP6Wh+0N/RtFwmbx1OGXMcGvc6XqQHKIj4+88agm2JoeqCdIjKwwOXekX
h5rIWmjaLeJHIdvxmXKXnY/lOrSR/rPn0G0ad4Nb/PbtLLhw+2Z7WNZ8ezfLVD7UDYgCjJpsKugs
Zx3Cmtl8xCJytlLm2cFt8ERZKSsHS1PeTiTF+YU0+UjLxW1ysEiX7u2pSaIUi8LVXNKfTp7TvRGK
P5EGJP6ITuc+YNkej13V63sM3AhHImNldVEXb11pi7dEVG1cTn1/s9ik0px6tfbtGeZcDkD6mP+w
x2t179iGKXe48NRlK6yQZPZ0tLV3A716iZzOc06ra5kUUsEWg+PrdrU1uvTIs7rqh9TYzVzGexkI
yjv2vl1xUOU7Xhn/tTY6oChpz1y5tkkOWWb6tAJNng9KzPoJlwJbb4dm5PkgznHrp54vwzSXZNFL
Y9lx4q5hY9flfh3T7nLDG2edtJm34w417WJNsuHdyH3x5AKTM+hVtuF5A9uOQ7ywXzsAqgevKgTf
6iaOreT77+uUPzuZHD512+ETMeyT4ZK/lqoltozBXdwN63lDA8Gq60r5Yts323pjlHkw0vvgotaN
iZIwbtUPxuvkwMnRPHSgNSiUEuOmJCSwc5IFrjhX7oSoHqcMQVg7hteJKDVjjab0bloXD2Y40iiM
YZDR+ITJ4qoTwLf6wsPv9iNG+w43+RIN2tgo1ZL1Tjqr3GljZI0ou5NIQc4oSwY7oUjxXUi9oVqt
zSZfpFW57y7RRTFk3DHppE5eN7aHlU5kR2yzVjeJdtdfmyrt56LQ4vfSs2lwwoh/N2EBz6W7jTet
sRbLdTa3GdW2kR2rrfzqXNMadoY96CNF+fo78/Pqrhhc69jNc7frRcUgToDddKa13s8+9p1whRNP
jbW5qUWh7LE0tcjVtkQ+7cw9dis8gW5tch3+78Dh/2sGaTnueXXMfz9wuP2GtPW3WcNff+SvWYP3
hyMFXQJKPk02uv6/Zg2++Ycj+J9rivPcj7Dwv88aOGvOAwWPwp5hBCOPf80aPIaWlin5MxhfbUaU
/5NZg3eeWvybYYUxhu/62IXRtHw4gPKf5hk1yw5/J9ty27LpjKip3LImJmqI68zrmVl7Q7CfwL7v
KN2yameVVXLFZL3cJygqIBdyc5eQOk7iGTmmDZM2nULLGqHH+Mni9QerBvqgyct6YdCMepeOo29G
tVr6S2bm3duG0SjGW15Cai15LYq8P04YuHbzMGXHrkvrW+WwWDrs0nEOYmRMysYKfQn9dHW4GS2n
5yW3/NI5Ka0SSuIWKBU7NIxrIuUEPjkEFKnkQBs/CR40vMuLGfxSQe9HQiz+dePm6hKXqqCwL7bm
inCjfB2Y2+qdKbIzW6Fls2rYq37G7G2DfZnzOn+BxfC+bEJdq1494XtEc0qr+YJSq/88JwhPjoU5
LulH+Sg3p7wWKrcOejaGHZuUs5AeK7tgvQyi6SwuRqMv92lTb7uAj24HeyiLjA7+g6iz5aHnfoiK
wL/2udtPlOOKnF3xzWV3LnXQcxLfzS9qki9cOvP6obdGXmXuhh6wCaOGqwnHoARHYNuXRaMwDFMG
b1g+iFBrZGjXPxljypSTDw3VsyxNqu1WLzn1Yub5z2a6iTuyfPoBD3kZ0M6yXSkUOfn/wtYr86fK
Gj4bL1u6i2VuphMpLgtBBG7VLR7cc0VIeHEGUJR7Lb5qovTAjVp2ghrYuhldtGlwN8ypRVh29ByS
Zpyql4Me8ihpS1jUIvE7girAHtUeIdImnlPkN1h0rRs1G/mHMbNgJRmW+kDjTniC2XT5gEXff27H
gVjO6GuS1dV8O5peyVcZzAO6AzHWMbSWfn70TTbSh1hKrdfJXeRL05r0we3Sm/cBHoFb8CkMpjDQ
NsfJ9cpjFcBcjQBwrK+jsNJfHXbD+4HuaGcbWdrtcoWd9WrhV5r3KKwN1XTZJ1EtpXpgf5mPo7gQ
R4yZel+5sD+ipJibY9d6zTWEl5HhzqPVqylyCZJ7RvbSLB14HjZ+3RB67C7MwcvftUfnSWh0pmLL
0PNREUZt3jBJMeOC5VT37F+2r/PO4CODJBThyumug9Jlm1rpMqbZT6vODkvfQ9ZYawMIRkt8n7sx
yPstMmhGY8cQy4+XJ+8joeqrvLPr66UL9EXK7DunA/S6I2Zt56pZWalTMw3DqAQ07xZavtGH9ZzU
pwlTXLK3FlN5Uc+27vtalcOLWfQZUSha4esBVs2btnA1EutoSWF4fiNPboup8gI2FybsGswT/e9s
++sH80plPw5+t8SDWzffZcA0Kz0TBGR75fPsB31odpMyX40UaPpFlnsu8Lt09gk72U4hvmyZJMFV
3eArjd0VlYH0UxGEy+T51aUy+M+jMszrc4ZSELusBX01Le1Ul7gK8WiIosjpEd2JLnDimEaxskWx
89ypfKX7WA5T0BtuxGH/MnXBcmVi27hhqWv9XJK+8pEpJZ2RX2rx7XnsnBzoxa97i0zEnBnJfh7z
RML42uxbSGzrr5qp1jue0jLyzsYHfY4AExNM934+tk+LshhklmIj+xaVTtd8p/PY3G+OTH5ynNXH
wpu2754ynwJT8B9GnTFTMi+bow/sknCHJ1z9DlAsb/BTeBKNrx9WcrzzzhsGDZuj41+9SHPy2GNN
F7hTOULWMbE0KxeqiV3n1zVagXVRTfZUwUpVC64Twoi4LhyrQuQ4h1ocR7IbZvCdXh4gVqVzBJWn
uNZuY3C9pEC2zGyuzzu88Pa2CbuUg2aLWEXGV1mmt+VQlVc9ebDIcLTWaEPpRoKMB7BahvZykuS1
wimQy2HVurpGqF6eWcyYXo1NIM8wO6v9mHp+nQjWf1eGA3EZpiJTB97AMPxtT/jcDgCCso7pWKQk
j6JEVeuXcLqcDH+xBr+yzgCV1OZqqcPWy6Cyr+RyieN4m23tyEuta+Qol3ahoBp9GDxvsFAxci87
JZKpZiynKQ24wZpa3XqN6E9wz8mQgAl1yHFYznJdOg1RblfyFgxGdWLapo5LEvhBaORaRxiKySgv
2fjg6WncD2UvPrtxe3BQ2u0Q7NL0KHRBdgATPUOgMe+9Oarq2SP4uhXys09XUYJP0PK1n9wpiBzZ
5umRONKMcNnJTTIrIZzAmZ1jiV6X9SeFTv/smuPyOAbnWByYzfFR2iI4YbgFGGRYzoM5dM6rMQQV
pqTauRxco0FrAMi0LOv1xkYLHU0S+dR3i6st2C6tkReWCWnJgLMEIsGF4zCesDZQNTcqI/MVVXyV
zOHowNb90C9GfXBKx/6Nb2uFZmLAprm3U5E9uxmGZf7rwj8VBK/TAxAF+znXCLd7T8ixRTZBoNj1
+OpvDcBsScjeiuC1LYPqaKKVNWHhiM4+uoY5J1FCMlHHpGMxmFdVX7gxxHi+aFJVeXU76Dkbd/48
lO+oxeK2JzO/QhqY5Bz181pTQwQYxIVXTu+ku4AVWGRCmzTB3Z6m7vA4MFr/xFniItVMg6d2U5py
0IgqcxAErbNPuHTYGlb13WWSGWI4yhb1CoTMNPwMZYZqVaVLyj4ZP3C8Y8MytjO7zSaD7hudgs4h
Mg5sVgoYQ5SP1XINtaTdCBOOkpmOa7bfGGtcKCv13OD0R3iOnKX7wh1THlsGX1+TM2+wqnRCx4z1
xB0ibqZtx76GnMohF+k7KO3+ymXI/GqoEuc9gdX8ejabZ3/pXIsOWKXmzvM891T1Q77Lqzmf4qyq
v4VjJVxlSf+21VDr+u48kpqRNW50wVAELFw1hglZNM4UpAMYBj6qcF1M3R2tDeATIxlxa5V2nsFU
6rrp/c+9UGA9AtPcExpY3tasssqwAC6b7gzfSU+G46fPEA2zHxyMNq80oI6GLFKzIRlsNY8eGzW6
eIOH0XEqT3jLusGREaYcGcQJ4Q+mcVPygswHx8DO0DvkaIUtGSI4Veu2w0x3oCA9AhWXkE5A5+7p
J1uSXBs2nUKPGAf8pQmXCv1EDMwaYsVo+nVRELicdNQR9z7nScFTeZn6dnIc07K9apgXP0G/Y+w/
slDeNh39HnSyLKOhF92vlGEXMf8ss790BTQ2mXcJQMt3xM2fmZkyGBWR4qy1ZnKxZxcIyUIfxOGE
5+OQIMyLsFDZdlhJtIBwA/fyZjrcRq/nEXWFQcZ27xCT/YtNDXm/s/uy7I7p2Jasqwomq+OgrYtf
beqy6nLjgMBy3pCoZkBgEExqgvbYc12wHJDUj1Zl+9AEanlJRt2dJSdrQbGjyjSy+jRbHoaBbsR9
dzSGytdYimq7CmsrWJ78oqwRqTr+0rZXVL88kyLBUoXjxtVcGD+9Y1RUnRbGQ8bw/T0nkLBwT9ho
EKS4hzvRLsGVI/AnxHA4grsir/tHYcIxOySywFFAUKT7gI9Gkz+0eW3GFGjru+/r9gujBW8HwmYX
nHjxKAxVnTWfgZyGJ9ec7avJsa27SpvDMzHMot3ZLWbB0E7lyj2bwgucEe4PjtXoI08PUKWKFMm3
M64BiYRNBSe0uYpJZONBic77BQ6RWO16jvMB1cViLeqxLCsEaGPw0jfsozJaeVRItE4lX+DYwKyI
KNnMzwBG0yWZ2PR6wWsFnsU/l2DzmFIPVDDAKQ5sdjlREw4hRpThii2A/RYyJmPks6EqB4esdqof
Don8M8e+cg2rK7fjVXf1js9MNARGlY7m0cyKWKua5BTAZRAE+XziZXUipSDyzK1tXpo26qtvF9Cb
3GnZcarWMTMly4yVFxD2MWVuo05va/qcp2XwnQIy40vPZPFLT25+1bduYIUeGIkqnIfe/GVPqo3R
3wjaGwUy20rfyICx3eE/OfUJULluYzYQ2Bnh93yr7xpP5lYEFwlEzgC8MIRycbH0Qx8R7eo+g1J4
RI4m90MV2fZLl11Vkrha02uMDPmv1mrqeNNl+ghjt3izkko8qiWl//O4Q27mtk2Wg4WDboykZ2GE
48USxPQEyLMRkPjJ4rXY6WoZzxmp40KoKqrrR4awpRVm/N73+JDBMDmtPceTF3inNUU7jyYS5i9D
ZmdHvVFcxL0swc/09ZB9M5ClWGwSf9e5bMxmJLWle7eqs1OKA/BOmkl2UfIFPAXuXD5yXnRXqc2v
QWVE2HgmchuOCxfuuq3zEyOeS8kXmtB+vXs5p60OnPSxA4z2b/LH/8XS/HfbP4pCIHGBuB4CpQg8
+c/NWb7NB4uLdzuQ5cjv2wXxi7SlGW81JBXFjjfm0Po/scvPIZG/OSYDT2CXJLPp8+njnPxHoEGZ
sGa9Qh+IbZVXVBnjHfa3JrYFpr526wk1rqsEmbl0P//vX/ec8vjnT0Y2MQUjTC8Izm71f49StK67
eLAjt0PnE37H2OLM2LRIfhLIJ1ddBkn9/edP/F/v73+KA0jrjI7+76W402dfE0Io/qbGmf/1p/4K
A/h/uK4lfcEz+i/L/1/OX+cPUIaucG3cvy4JN3S6v8IApv8HIh1PM4lakwLG5v/6lxpn/gHn1gwC
/h+Hf2CT2/8kDPDPR8kldAAvjhKD/xJz8L8/SpL6ufVGMtPkpKEHrLfAZ36bPtIv9TdF0P3cFL87
Z/xPSwt4Bv/5kyGnAt03fQETkt/F+vtPTjPX3uRWTjuZBP0PrGQRknh3wP26Mw4nS2xUTIp3n4VU
Cq+QHlpdXpQM8m6UObS/EVHpQQsGNLSvrNJ5a/y1OeUWl2DYKYK3MWUwM0sxrP6dU3aalk3M2d52
EyvKers5bHL2Lo10xNkKAnCjCWYmXK4pK0Rkf7uk0DalbX9RiNbxVLCrADRLNBoZTKyuflirChp1
KnbSsMSJMZNA3unzB5uJH68jgy7At4YJ9cIsbjzUCS+cdL7cQBZ6Qibi5yWrHg5EGar71W12RZtf
5XY+XJ+1P+Com7kxBxQQrlWh+MMLBteowlqEnmA4z6OHWBUxBktvueyokmugHibTw9ACCUXraK2A
AmGigRHM0xeFAPkgAVXuko2RArnWg7lY0z2MLCdO4Ci8wRix06igzgFHWoCgsWfDv12I/v5OtBUA
2m6IFDH3GoPvsSUZsQM4azAZomfTYhv4RyDAMk5aO3sYQG+VhJPWgmyxlWJoqop1geTiZyfLFsxT
XYMYOMScyDZceaNV5dxC9lDZDhOse9cZGLiR3cSVGnDATEx27jTdyHTeSYzxd+u8EZBJhR2BS7I+
NM6kr+bcH/doGuwt7/Ngj3V8O9V6bp+72vcgxLSDkcYkcJoXC3NyzMIuH/5SQRT7MPm4B+5QA+kF
MhgUFD7rNKIw110VOUPL5AiR0Tkiu+MTaDKxvcBvQ+YFIoW8jDcJ00/Ylv56y7+HK81aavPHNTwX
C/c017sZ+esOV+dgRoJywY2mXkLAMyE7TsOM98ivm3w+pLPA3DwQBjo4mUd/1yC4vrjr7FH+56xQ
j+VcM5LXo++fGbVIEpR060VSDfTduFnb62nKxo+utniQik68paLJfpLRa7/4ZNTDUNTBLdvrmD12
K9bEnWIe/oYUdtaHJ5VCY6ltB3aAOd9Ja+KnbFZmHjHUBxSAped8LGjdl3LLpY4SZ6bHVXOeUXfZ
5rojAWrt86FcH61msx9q08cjvGA324i/nBkeYAL0V1cxY0QhW9r7OTGDj8Fvstde8entHL9vUAzL
AlxQkMoXqsA19CamfQTSlf6smnF4xnNJfWPVvfzsVE7GoPXI7lCvk0KSmOdE1Jmd+WMMynwEPFm9
zG6e3Ette29QULCJZnYJfNpacJakwPFguJgzRfVUu9VjIztnN6zTuYft0rYKE6iQQzygNtl7lfmI
lrJn5B5LzRLXNEN332XC8g8oSowJqLpMQLC+OJKHn+dDVmT9Q7/MHQbZVJSnjWmdyRgh4RQpKMnx
eZWLcbu2K4ghs/CLF+zQ1JECVeRM+fBw1gj4GbFERT1u3ZkXYBq5B9eRdgYzqDrbXgEhn8UiP78z
IAzfMQtxoTxRMGHhrc3lXjW+/cJX6oYNixZhu/mt3CWO7B/Tyc5iB8rVzrXd6r7EfYt5dZAybKXu
3uyBwoTDTKzvCwrjB4c536gPO5Zcl2figXL8yiBWMbO6ABhEi0cGwQS6Li/5SFem+Zsa7Xg50arQ
efh5APx0rjkWZgDMTYxhcr5ZaAZeSiCvW8TYIh/CZMb1dCRPY72rcZjdKJ1ct8X7Z7CRAn9bfs1y
kenOcP322SeQhf0/QZba4QJ03pZqa7+7dMM9WGUTR7oSATPLEVDsFrVltrk4Tvs1vTATA+CTZ9vF
DQKKyO4akS7ZjmrTvmxmFhAchtIeg8sVqMrZmmPydvUNztwYnc74RF3QSbSmCUutapaO74d6YFS+
0HjvHRsNI4ZHRwoNjKzhRDw4PR5/JAcaZBpfUi2LCOIuaYAdQHwf+FcI/GSh7v2JmTxECB9Y9mWQ
z6DNLT+55knqP7zZMK+NovdepryvLlniXJy2HOoH95wsjzJbuUGLelpf2aXBoQfqeblxRuB6uwqD
9jN4Kziv0Fm7LrRdx/tumBA86jNyQjGrq4iIiKLllfP63+s0Ez2gI8giVeeMx8i/3fgU+nt+0RmA
RFO91k3aX6aF36go97h2UjZOE8mpt1NlYYdEBRtOHq/ezuZv/gn3+mZasiScPIG1e6OQ+kVUurxx
YAQuO0AruKELdkqqyGpdTxwTRMQFOomffIp09RAD5FisV41ckQfw9mavAgAxX/SZ+ImUpH3gria/
m06y9c3ebPnE8dve6d6Sh1To9b3hfr6SVqpRnhh8vEOTC8D7DBvu3lQgX0RzjlcpskAlBeGwQs6P
JBiRj2VyxzvHM2ZG74l1J7zB/cE4aUR+orZnlxfpK5BG4kSjkGqvm/JgOWpFnWlG7F19Ofbfm5rh
1Lvd4LlQXyCanb8061453URy0ZwuJmEV5RWTeO/dBdv1G/Me2yrNrGP0iG8R4uuUZ/DR8TUyv7jY
tDN37FBI/LeVOM0nt4u6l6aZ0c8mZDyxJk3gjONmbA38dN1QeLfw1kl9oLw5GmojuM4IY7QTgxt1
Y22XAy8Bba4ejPyzA6Jw08zN61z1WYwar7HjmqBiK9yJewoDTO/TaHjzac2c88jRPi8MxcQFyTZx
8j2TPoNgAp+E+Wc8ZsKqgYRu+V+dNdqnOmNQjJvZTHssrhjZO/BkKB0mYByCNoUmcoMhNyiPnuAx
2wXWALTRtCgScCd442/8O3kXdpPHegq0cP9B2DJN9tOf0R6/SJMhzjC+8XbaZC/CBTIyD83MBhT2
HOT4mfF2G81pmh3YwyzSZWZo1jWFELpo5AiuvZ4AWB36m891yQVv/u6LJGk4p8v0TfX1zNBqcvQt
GxhIKgm2lOwytaZV6GWIelfEkNZL1SnjV6J64EXI9Wg/Re+LqAUP/nHe5IfdmHnVR2rIRkb2sOaf
erE5Bf4ryGZuhvlY+63jHNMZaYGLalueF6B3XMZ/5qvWhCRyyCNA7ooBxVlZsIX9IP5MZpUL7LKQ
/rfro8muu4tRWt53laDSaCeJ/KAoYzz2QWSf413u7GSvCzCc0DU2KraeReJhUQ1NOAvQ4mxTgQUQ
1MmWhyOZsfUcHhNuVI+oEWBJzkDyzQ/T0a/2jjIIbiSKfS9byw87x86mcwAtlUTRKnsWhNLWuFK6
PqbEa/Jwzcms5a1h7FAv/b019OXurOFw5c7JHZ44DGjexOjE76svNpCYrzyJ9m9QPfkOE5PNG9Z4
wZ2HT+oqzzRkqzUvvYfNXFWzE2OQPRqrWV1b08Lnx0vxAmmU4woY21Yf/CFfXxPHH56GP1N4anP1
GkN5HkzAX+30G2Lj9OUwMpKoOecQX2Mn4ixXm/5v2x/w5G1GRpKvJaYcNoPlXC8DrhhlwTJE6uUp
RANd6iw2p3X5rQxPx+3WYSrfOFTCtmbzKm7elVhhwnZeikpyZNYR0U+DzSr0eumck4jbn6FE3Gn4
xoosY+7hrHbGNVZ35Q2wjKmK/w97Z7YjN5Jm6VfpF2DCaKTRyFvft/BYFKtuiFBI4r7vfPr5qM4p
KFU5yqmbwVw00Cg0UBXyCHc6af/5z/kOuQlW+6pO621gOtEn7NbGQzHRxzNrqKBzhgtwLapabweJ
4Ft4sWUgenaDAK3oGKck9dnajxP4BC5ix3ss/J6VhOUj8614UKbVJqiJBhDTgVMHcN9BUaV1hhOS
YU+8tdounswWU2HJ4tLZdkkpzoDEw35Lw4XXrNlMpC+wdr3mBLos/EZqiQwojUycinIj44iIDyVo
gXfL4ll0Vvo44Iv4KrOgOMDxH8tjB6frNWcyBrhr1WiIdhGIHWOsuh2mBMqRhf0AjOKPZGqwhFQ9
XB8kKnKWISATfXZmrs2GlcdwUd3X7gBuss24DPFbzBywCb8H68auxZ3UUWWeUxfm3A6evnjUi0Ub
rP23fE5HvXj9QpIPpmbR2WcG2y3lBESqariPRdtzhAwRw9xTBMjzRAU1Fxy4y+TYxqq+a6wAqQ1z
Km1HNuvUVT+W8T4iD8wSOlBo/kX81dGNqFeYZ0HnebW6d+L8TCCJcoOqOALkna9jmDyFM0u8luGL
hfOwz8EC7aPCaDd49eRqkM5twxfgNjJQ9fAIIzSntmBu4PhRk0MNyZC3CXxHkvT4qONN2KUUMfWD
2MFbivZ5Zeb3g013QTbVxaY1OTWimk+1z8tMdnopiM3gSmMW0dOSARlj5xa1rtnR4XroeLBRCTNs
sY8Md7lTi2cBw5LOWBEDpKubl9zviRZHJFnYArhbOIvTTuEtRqwfB8yKnUPcY/SOvvZtn/OJDEjm
kpXaeH5FcsdMaLfFxjxvRU1fTOgSMZr7erDXhe/5YAnc/Jvb6H0F8O57OYXJXdBToNL2ufcGlc89
6VBar7Jygq8uD1BU+JLhLIUY1dokmGlV8kO15V9MjLsZGV2vRzhWnHjDpnzMQHMeiHMQWRggbD1a
WWicUz/vCKga5UE7Yf9UApT67HcCx5wUk/G973TefLYSxqAlGwR3LfdZ4ezrOBmwvNpy3LQRdnC4
MWX61TDb+jKZRMRWfejxAItHLELYHvH27UAH42uNXe+eYLkb70y36nbYSTC+hKJkxYwtAfupMjkp
4NDgmVm6JWZl/LDcqFwMpcmGM1JzKn/cdlp+tTdaQsm8jF2EAXzEuehz+5ezOqiMMQF0t0WxmSwa
O4Gizw5+ZeWm87mFef6tVFjpYd95ybRxG9c7er03eoesGppgbeUhh+jBSp1vLl0wmwgl59wMzXAl
roU5H442B9OOyskPOpiwk9qAl++RBYpD21nWg92KHiKDK7gl+q4zbNh0BgScy4bGKuIDhIuiyGc4
jwk3SkLhUlzwOJcHOj04PbUuJJ4d+KX2o51IcOz/Rx/9v8KlOBj58Av/1q74+C19z4P3/BeN9F8/
+adr0fzjB8rAsx3+PSmWPtM/dVL9h7QUJiz0o8WYKCGj/G+d1PuD2xoaOLdI6SIf/eRaVH+w3AaU
CurStYRynP9IJ/03agoqpcU84moT6yQNVr8opVFC/akVQ4FrRPvgEJQ7ZDykOX2rbucZ2fAtdplw
DcfzuOdldHuMabPrQ8c6ODPSgVew29r2Drc9EmaDum9I3e1MWLXHlqESzkoyXrUfODcWHuojCMdi
17q++lpLv9jxuIk1/2TZfmn4Yja01GHixDQZOa/QJcLntsybm6qoixpnY0sOte6wKehxdo/RMKBN
jYih5Nhj7mhJQNNfR9MK99F8+GB8qbdT7sI2HvpXrMfYu4qSAg3ejmheYZG2D7XjRruKimgkyNqu
jzi+4yeMODaUvYr+gRX4fnxQrMCNfJ17QXabjLZdcOM3S7Qhw1M3ne9G+Z72JPWU16J/88jWYXYH
q3qkMcZ/FG00pqwik4SDE4Gm64StpmBzOyIWtaEV3bZp2j/XuYqSLf5KzhUCS0A/TFdzMvsDovDw
UYgs+2wwxsAcTJvmtk1GI9wMOflNJkb17IvBurSWZTyGiRavRpEzBnBT749L/yFyVJBvayvgUTDh
pVkHYPz4xVMMQwm/exfmRExc8g64Ry+CLH244mPOvxDsIbQVCmbvPhKSX9L1CJBZYbFPRGzeyoyV
zDrR04TWyiqSKDwYwEA50Lodl+3ZZNZHmw6bTd8MJ5JTYis78sEcg8KHDsrbasBQZi72+PySGchZ
BIrn4R0cW3waJj3ccEF1sb8IO8beAdS5DVKtN2HtbfqxQWZB/Nl4c+0cNH6zZ26aLYtHozqbBu4h
w9DZmn14datpKNgXWTHRAkUSMfRogknJqxyQmMSZT9Q/SmMpNqH44HM1z/MptAP/DoN/fDPFXKhU
QukvbZKPOwbz5pgUbJY50D9W1bCGVs0uMO7CO0QwHoZeXT6V9Crtgs613yPOxme6Le01x7pi5ziE
/zXHAyHKt4yxagVxFhZ11T83Xk/YLu9abA4kd6JP2Tgc6jG+K6W57kJ1cspdoGd0gzwdEN2BzhLf
6w4qb8tyLeB36lVJwdYj3wPcgFh5HrxEOflB0AV3StFJXxst3Ee7jQtMSJZpoe5RtMB2dwQuSgXI
InBWojrQt6OuJJnRXkeKN1bS9aJj5lmsurPCsZ9zppqrylzrYNZVqldTVnDG0kP0XfRpuauZdej3
Gf3mC6xpxmAQtx6HTNiVMYFvPn4HGgNeGme6C204EHaVOBvckQJs8ewGd+VImcmGZEX0MLouYsOA
K2VreU7/VkZxeY0iezhNIldXgJwRqxWrn/mXOMWnfWc+wIDSB3eumCA5l/aPrgdspMv0cIB1P33x
0ih7nFpZ1AfpxPYXru/oe+j0FjUyyoTLSRQlfDf91E7XFcNhvqJGV9/GZLu2k8hImkNvsKpdUsQQ
EYMK3T5TfrgvuyS/DZPYeuwzGXAwVvITc6Z1qY0KDy9vinMX4nWkrtOpmNXrNrD3neiCW5jJ5n1f
B84+HqL20oYldYZcwnyqviWfOQq0lzRprK1vztUBC/qS7E7da55nM+kvaLrM5oxuZ4eV9MGrhuCM
vSK+oFMTyHWVQm2uDdN8ZCcxNFvwCwaEKVNfddJm9xgCxQPHMwlODrZWeCrnQT8FaSYsNhRT/THM
i4swYzLUMBSqdU3DHPH1U7yIIiv6ReCtemNfbxcM9p4Zq2q2SeSG8ELxoQ9efhVxjR/DNJSxKS3G
YjrOzMPomhkn/3ZYK764W2jp0Z6gBgjfYc4/Ncgdq7bBkGVG3i3kmOAG4cH9SGiBvRkCP9mZiPGn
iiHmHMAwJj+nxJdkrpKbvlf4/HIA5WGm9JkeKD5DGTgX36sSMkck1rkX5ed8IhEFTwePhc6yL2RX
im1qGvXBsnPnxQirneN2LzFFs3u++kykTH5Ul4YbI076r3YRfYuB+G6dxpiwnpmACwpqasnZ4H61
q73qlI2VPLqV1NhulO8Y9wi9+sDYmh8Dwz+JoFZM3s4otm1qTK8ghNGAfISje+kTWGDTZ5Tb2pYs
/NNHhtwRjzNU3iIsX1NBGWdatgj2dfQlNjBlnaSNQ4dIcZdsyL8PoLWW3qWWdcaD2dvxDZb5cofN
pr1CqT5rV33uxvLAkqRc5QRqV2zeujXds+bVLSRI4Rbdo8C9Sxa+JgrEKLDUPesuZtfF1IndZ+Gg
jWoZmELB/0v/VrYHQXBCT+pwnCuYC5s5ZB28Md12ylZRMZSHvk7fsynNTk7qdG9WWjYeHZRTdBNP
LVjb0KzEOreM6qECArufq8Gl0samhUD3Y3fOwiDJdjLDGgm02sLsaljfMvJK0ZZHvMIRVrYhhxkj
SLGddxG9JmXDcwCfPXb2iXazZj2nHMdz+KK32mmHW0wsDXM0gVHNdnQFo57mWEveFIV7y59FcjVQ
U/xoNZgc175HgH1t+sP47PvhV4/L/W1WrFSH9kZRZbtLmipmoeNXD7QWRKuiVRlg3pFW2NwqqsXr
L+/jPprfjKBii6bT8RTDcBgWonW1Zr0wrS2vxnboJupLIxP/c8ALLx2T49b1LGgKmaF3tVXWT4Xu
EZocahVYkzGfZ91dGfvBc6Kyck8TtPpuYaR8HXq73Ek90yrlpqzEmB2C+gDGXtHiQgCbGHqOdKVs
O7/jGYD1Ok36K2kXbKYcyJ6jWScnpNPxVEk32MBiFccyU2wqSw12u88LSU9K5B7DmvdKee38ISsl
Di7Q/Y2lZlYI9NoEm8xU+yRU+7lNqIDB0QFbeKMVWeHSqjeyWQgr6H3umFdkXrIO4bz+ZtkwslTB
pZiMzlYKoFDciDdgBGhqcoyNI6d7w6pYbRSDfUzKCapd5hfvivsZcgdHCtVkNRyvXOzKNip4wsgW
r5jr3jvIkJfAJ2iZlXQw5AM5RzbNGKTSnHgaXBlFjuEa9N1Zyum7aZIXW/U8psa14rRPRLXZ2ljG
k5XkqHUFDmTv8mCozi3b3L0xF+jgA08Vxtv+kf6q9omYTboeI3DRwPGu4GXrlfZoDWJIjDd+T86v
GQJrm/iGs5qIm+8sbmXh2rLGN36ovzAQzl9ASrHujkW8s8Mgvwjw0S+838zqttPlzK8lNHiCz/aW
bhHjQNt0eNK+1vdlz7Pc75CuaPhIbiX5i+vkz/69ME33kok8ueCdT/BYlYm64xvKdrykgOLCHJLd
54FU32YxBmu79XN4itK8qk46J1QF9Y1QuHfjdATkoyGkq7SuqrMSDioQm8zoDdd3e8NtMz3iNCNx
UOkPFhjeQefskwI77q6tbbpvNpzFbR7nOYA1HvSci6y4vCmnKuPkjxp6LLKAJsxQlRN3j5YA5zzm
oLcLyoNq7RwNpacH4D7NvElq2qAi7W9yCo1O1phMzwM1ULdjFr4Wjvbv4A4mbP/c6mDpMkKPtPbI
Qsl2CuJqpyPH3BJdhWoSmsW11jFPutIPcPFaJgQbbs64qyNk/0S9CEYZ3mYX13HHDY/zY/Ea0vTw
2cvT5ATXiAu4buyLa7Yw32ls6soVFt/wPpDpYtN2uq3EwffhT2lC7THPPZ+08warYQ+cgec4FTXB
udDVk9P2wYtr+JwyMzgFHQciWsgogUr2mdeWRzNL30cYSnc8UTFuWBx5qWDoYLHTxSsEDCvGrHbl
lsMHdsPuMYG0fsI3iYk47vujBdDvhC0+3cqGhPKYJf5hoPDQE6xnMezGR51+HdiXfQ1waB1jxCSX
I6zAT5/WH5MRTueUBSOonCilAIVysb2fDZQuFkx9+Tzw9tmDfct+c9rPYVLfDV2er0OnKL8ILhio
dWZ/jCUdPhHln4ASGo4TlWeQLJnaG8r1iEkH0fTJ96OG80KcviemN/OnENfK8jn8YBiTx17V5ib2
DRuxqq2oT5qHh6Sfdbmqcst8Y/dMS532ul0VifKAJO5Rquul7AvmMWPoIVV3V7sUDPmk1Bo3AV/Z
e16yc2mcXqpwCmdmkuujddnweSntJa9TPg5cWYOzL4yciLnf3RBfWjsVj5QCR7dDtgwvq/vd48Df
t95lzPEdEH1fj30+b7xIrjmeihNLTLHNdPatGsYDfoBHt6OAjNrDiBoHJG3MvNOhcXWwYx9aHXur
aI8Jf+VbJYr+fe7Neuuh2j4bBKLJEhX+h8GZCTdrl3frvlbeno/HJoDY6xvclOXFATjypl2/42yk
1JH6tGpPdI2GU1xIBihmCaDJY29ACMk0xkuV59ziqyjz9hLwxorsRRVx1KfTzK9j90PAaLNXNI9P
K6oz9WdWh45eGQIDAB2j5rb0Ju/aDjNZd7DM+2npnqTbZ3x3KBHm2ZHkOItoLONels/3pEr6U6Lm
8d5o0NQwPlNTBoRWYtXW83FGqXjwMq9+DyYfTE49lK+0XRHmnhuQjJOdbZ1kqG/cVgoYhi3mgK4F
2Cj9qrhvVct2uSt6+nXmoH80cmeAR9zbzQ1V2M526CaLYMMk3TegJtWeIMr3CJfJyQ5Dn7U57VB3
QEvFekitCN5E0pLKImi5KQ3i+6Oe5an2paR6e8peO5Vwcp11epfzdUc+T4vrQq67pjWLzBU1i9Om
CAnMrGw05LsEsfaWwzUOb7bR06GOwS+uKh6iD0FRwTyJQpUeSyejHNac609xyRkWwlmSHTLp2RuP
KeZCFxnFamnePDmCMEmxSLxTkwTPduxGe7/2LXcFGQRfb+7IlWqG+QRkkrAHkfFXtiP9o8cp9L6D
PbYr59h6zuQYnbzejL8EuuNZ5A/zVc2K9k22IcEFIKR5kzewh0LYzYRXUnUUFL9QtlbN8NUK0tvv
vQ1CZuUllnjPHJOGZj7H8cVOMAKBYfIQ7XVLlmRLR0Z3pqTF3FoFeexV5RvzDiZsecNzvHwLqXF+
7nWFgF3aDAYuCOgJ+Nqt5druE8EwfXJrBSGh69VmMGR2VdXEESsG/VutdBz1r6ZunQ0ZjPDWt0e6
NRtzplNvSJy3GQMFhwaBP7x007ORKE6dUawhWnTgyTU1YksjdMBH676XAwpIGBv7GdFqJyZmcP4O
c43wDlCEFCYBBMJMg5EAyly0B6h6pGbYamxqI82erFRUpyJpQDrmc+t8MeA2bUbWXQHkX0KOK3Lp
ZDoss6QdJwrwl+iK463hgJ8BbHIT2YpfVkJPVKPNuvD/rf77/yEJ25KOg9D6f7a+Pr5nUfpf1/ev
3c/U2z9/7F/UWwsxV6PcKmzStoWH+k9N1/kD/7L0HOJbOF8t/ZOma/1he8ITQiBUaOkqnKEcTBYQ
tvuH0EryU7ZNqMfyxH+m6f7iQAVWiyDDfyhejYzDklP/iUhfV5bbOSPgmSgo70w/w5FlVJ8zGxtk
DQfIaJOT3YzzoWsQCX96p/7GsA6h95cXJ+akHeIFvCdQFflD//risKBFPGiex2ZqzAe/JVJqtGCh
lwFo1bKqWTF8SeyPfbjnJBqRLTTFRz55GCHKEZUnbO0G4C1hpWuvXASoeVTnvJ4JOHAaZ973cpSq
xruxosbddPVE3NfH3zIBiwHRWZf6vveESm7KJd9DmvXRCtkY6UDyD1KQWRLNGcxbuzAB3nROcwPC
mx7F5f5d0LO4W9htLYjcxrpquISPpqhwM5R04d5jrpIX6TbGo8Zmskbh9G4H2thXi9GZuKTI95Fh
TE9xhNeO3W+6MtkBIYE71IpPQp09ntX7ha1znLEEW+uxNhAMlvhOcrB1JS9L+xfVPUbUDUcDOI11
5sZXQTpD3dkHEQa6GroUHqtwcj+7mFFIf8tSPlgeroU1rWIot9g/mxVr+sPUx82FSY8ERVKF2T2g
wR661CTecrtpcBArI5/WiM38qCeH4XUIAqZ8wx2yT9Q9vnSVobZ0/yyujfbs5vbZg2pzwPXaMMPz
DCER/dnphHcjcIs4CCvc61OKuiTJoRi2BzGVsT3M2TheO5JxfFhJcu5JpexThuo9syS2prhyi0tO
NOcYpmN2sPpweAzwq+49fwg2GEzmXdO4xnbu+LgbMxHvbPRxJ+eMbDA7s3GfGN5tBon04iUYPRMG
Wg5fyb6QmoFXQTjiHtq43HPxVHh8czAEtZ15mRhUyjXRPOLU8eCXRCJTPv46o1S8I00K8QVzsCHh
kUL22zht17ywBndfKLoSN7TmcU0H6uyalUWRLtc5ciWCIdb4G2uqvccenAD16127YavQbC0xNhuV
eYAGgiqklXBym0ctZ3b6CvDOJzcgv73pFWuPgmpmowk3cGwpX2+aaPgcu51l7krHlTgaOpHTk95A
ZdqGrFxogZuX7glrIFu/I9g/X91cW19y22/xDi2akgaxQHmrO30aLF9/m2EKfNJD4z21bUMUjcp1
43McyfGCxdp+tBJ8spuxGCtN3gRw8ha7MRsYv1f+sDMNo9qDA48BQoOADFZjQhz3SFBt+FJOY8SO
OJbyEtdmbX4mRcVRX1M+TK+AC5ZwduIvzVind0MWJxvQeOljE0l1IEZ+pN5CHXjaf59bWomZvgYw
Y5b1PcAL/DWCYXCYAhXdwLoOj3ONkd/0S1YlQWX1V4dWkrNQUcmXejTbJ2eQ3kfsW/7R4Ly+MRST
Vk5mhdxUkymyhlVcbRgwmpsZXtiW0Fj9YvlptU27wbyKYlbvPsrGrhuK6LvEfLYdIC4/5GzWPxWD
Z77TxuXcmd3c7f3Q5y0c3eaJftFin/bYu1syka9hrKpnNsvWE2Eb+xg2SHJlOeG/VkkPQKfrkmFf
0hREdjFPsb2z6DXrjxQyV3AOrZpBKkPmtZ9kgXC2Vfzkaz37ez+ewu++bzn6YE9ofFsTeOh8IJY0
gwaM4mlLRpEq0JBJ0lMzfXBxV49iHQAup+9gnIgom4ZXb0Z0qHeutHFiZAknbkjaoynLiLgbA5XA
LxImFAfvdEnIb2MtyfROV9q7tOWUnWZrMptdZSdmwOJHuke/cs3PylDeHU6k/lgJ7b80FmzMzaJP
GpTBD5Gx9f2erw3BPv+dZk62B37rUbc6qQHvZ97qIz6uyN9UwFLvTeymCMDAhrc+yPD3nJaua1uH
jTyFFIhse2N6w6uYsywIeGMoajc+5Z1VfoMw2h/pYQm3g5b46ERHhcFqInhdQavN8lcuftxD2YzT
gO1C4ln7xG9xonUcFLEUDrhcGMkqWiO7toKlAKXCfBvLHqtNGybmEkSkws7pqvaNiY+uZM6m9gte
AvFaRSBOBWfej6hr5dqyZ2+DJlbvQF02t8PoeF8bay6uAmhhvLdUK1A7nBlcbzovmf1gxBnM/yw6
V1gRi3VQauuRUAUR/MHmS78qaIg7THHNLwBmJYHIEs4DFhITlAF42ThjUGySsuSeaXO/oK0iSvcw
L1jK+Kx1YbU7FsIwe1G2aplTEBfguNps2DsXzzx6fLQHGm9RyUdSBsmSN0hqkgd8ZFjiljSCnaTM
gktCIQqwIa3EkltAd8BVmIaW0RLoyPK7CkgMShlfh3LJPQBuV3eI8WHIAKqtWxQH50pmtl4HUPEv
uHAG7qbgXjI2GDjMOzY72sUatHYdG8aptyQwDHMJY9D/TTDDxsuzfNHha5E+lttAeO7XmJ6+AF4m
FaMrcBTN9xpu6O38I/rBIsxAGl4CIRB0wtfM7u2NK4r23kjIx7bOeBcugRIkquDZXEImxRI38YGe
40MPJfioJY5CF099acIgpJxuSavIJbgC86f/6JcwS/gj1yIx9jKAhKBkSTJbiDG2YhSdQ9rB8y2E
Mh7IXQUYUhRkZrQMH/slRtNjLNRkNarkKn/EbEBhXe0f2ZuBOoIH9nECabBFw/NB1S1hnZ5VJ0Fg
eMBLJJsz2S5aoj0cYD+AXDL/kPpJlvhPtgSB7Ljk9fhBZ9f7mT61xUBkKHFQIND6dmQqGbTdOHfv
IJWTM3Ia6NGbhN0CM6RTFmdApu4rT7mB1QUXFecgDkLfsyXABH6OLJO7xJocGZNwItxA2mlgeUzy
KczYI0tQAasIeNA3jFn4VWhbbT8QOXCxZD8cLX2NuUUvNhfEDhwvFRZo9oY/nDBpr/Jm5WG7HY55
BHcBTvXMaS3JuvyTbU/VuZnaGaUjtZulOFzxPCy7qHtpVSNfhkpgvgzcGX8kRxVn1TqdyigQp8F5
G1fC+cAHoO9t8BzPJhkupuc+SpZEeYnjX3L62taNKJ6qIGsAGg0936ds8ry7ikXINRF1f6hzbT/G
mBww+cuYImnHfR2bhOjGSIcR+2rXwernj5GNYRYYNR8eN/ByvSQ/6ERRSf3NS2QU7kCsZvgTh3j6
RIAB4ywndmmv8ykW6iDGor50hhc2iJVFcQnjrPze4jjkFh+bbJP5XGzuqw2k4bXp2NzEon5QzaWu
hnS4zTObJTTVqB0hpqzvZ0L0xgQ9Ew9SvomhVQCwmWbeoDjxIlgXHIjVTpFz/9TXPiUHwMfJh8W9
lP3Jcyo2UrjVOHQUqXfqep26HHvEyAnY8cXKnOzkVPrM9pzWpEuCdJAvNDI6L3yp4/5k2rV1zvB2
X2ZuOgm39EQ/TaXf5+fRwc+PlWyo2HmPnrI2LqwpjqwgIM+sxOBAQGwYobPTfb3Cel8n+D/zBpc9
k0NPoNghusJn4tWncPL9F4wW8TPdUdAB57Alm6/aITimBZnWsK6Mb8KM/VPim+wYBE+V4zQO3IoL
N4xfrcHGnhYlRvvCp13e4FiGGokDpj0S+GMEaVJ5nm2W3Z7y20tWxGkEBJilxIo/HR8KguN6dOzx
WvYqDTc6xMdNcIRIzgYIsHqEflTBm/79PPZLkR/eIoQ+gZMItzRwMttmHP15FoRx3nZpRJ2nb4r0
WLTBlzzKP1Vm+Wp52ScYMjxYdehRHxR9bmj8uP/96/8ahlxenuyYa3O6A9Amlv/+p1E08RuZoX0A
NvSxruCzyS+8+en596/yY6L9OTi8vMwSQrUogOH/vF+GzqmZe0nlRrftg5aZsAfzuNaGZbgHO5xx
dyd9mZGs8oDN5jye5EaCX8aS26fDK3AgdZyMvLs4ZdY+JKQOb5a3jJiekACHyulVSgaFKHFQXzqe
i+0dNGLsHT/+iP+JIv9DFNni7PxbPeaFhrH/Wn3DaZf+RZD575/7b0HGE3+wS3K5xDQ+tp8FGRe7
nGQrihhj/pBkuAT/NNnJxX8nNCKJRrBYZvR/CTKSMDJMC1xxQrsuHr3/qJns33Pt4Aol8SpQpJoY
/y+1jNpm05uC/oaY3iW7CoMw5RVOtMHxRdlPPh1//3X4UQP689fBQZIyTYmWxDuChfCXHH0sRx+N
yYMOkDQBQOwk/mZbdnXfmyAfxqkfNpk/833s+F9hv5962EgxqInnGe/zekC2fEp63+03//B7/aoN
Lb+XxMxoi0XsUhoB7Oe7AYtOTgMTovUg089tzu9hDoa7YjF9kK198ry52BepVe98Stc34XSjcPud
fv9LLHecX98by1RSCIY2JLJffofEJYSzFEXsy2is9vDq/ZNrRsXj71/lbz5xmz9VUXznIcd5y3//
031P8yYTaIrdvVWog0qoCbE1FKoIXEqFN/gf3ti/+ZuUJfhrbFRE6Ji/XF+w5kxBOZK393Lt7EYX
v2HclfIfXmV5VPzyznl8I3CeOoJrWP5yVUkfbvKgfL0HXsmfQe55lafdQ59FH//xm4et2zE1/CXl
Os4vL0RKh3d0uXz9CA2e/AFxGJwRiZXfWXHyDzWXf/NJMTAs8E/O34L6479+UmNHWkI3tt7DtBPr
lGfoKuwlmPHZYVMfO4ff/21y+Sx+fRclFmHL5o6ASPrLZxWZrj2DasO3b3AGrPvCuwzaFw8pkwLb
bdgwJc7THQELeZiLuNiZEEG/OKmVr4Z8rKiIdus9ver9BpXGNxHxqnLtWG66UWqe71pZglV2w9yr
jkzT0drKMrdd1eXMfAD7EBRjO5sbKDGE+SlPv69BdP3DQ9/8m+/5wnKUHl0K7Ft+vR6prJCDogJp
H+ShPMY0ax2nXok1dPYnA/wuHhUatOrgOy1C5daWiXzEr+T+w1v9d9erx53b9kyOfpb9yztdx8xZ
WJO8fZp29nG0o2suHG9FysBZ//5D/fdXQtXn+SEBTYCc+PUzDctF2Yk9d6/B3a3HJV2O9fkzxlm5
/f0rcThf8Ct/vYAWUZ8dg4VCrAFc/PWCrTLTMrQk+GF7vdwmPe0arAfHO5wx44NjcCHIqn0M8Mpt
466dkk3rimrto5dyiC5wlHpNiRaoOY+umk45n7BIqXfVV+5hwIyXrqlhmD55TWtf2rYvzkmILS+v
Q9xbpdnF4y5FQV1XnYlXKdPdkY2vewBA6uy8Op/2RtVQl1VXcmupmj1Y1QkCiIoIv78fWgkhLDP9
mw5p7JY+ozFeN2HjbIN+lBuSztGtL7L4fari7Gj33rAVqTcfJk8Zq6Kv9DGpWv0aWbN9y9QfHebG
btYGJSeYjmrn5GLEuDHjaenMtLYpUdFjqKIaXdxkdh278tGWdfkq6Sx6dwNBqC8EKIASS195XizG
yLyHloZr4xCJNv5kiLK6dUWGbjkigWEpGWkIJMhYUTDR+zd1H/rPoQeYuofK+oG1ktZNX1hviRG/
UBBDuWiC+niO25rgUM1CIQs3dCgcLKBbh7yH384dIJAP2G9Ie1gER8/CtprbmamQxGHl7JuqTvb8
OeRte8YyBEqqPmcQhqgtEQ4P7lLTxeuwrDGbdFmHS97v9Jp6+WifomJ948jEezJY+SUMc8ro0868
Vq3PbkJZsjtWhd28mE3ePyuCNhXtCmXjrBA8vGeObROLEIwKTy4MrWMHZmQ9VJCNARLYpHmdbFtU
gikmwg3i0/nEox8TPtP5KgbCSOUexKsDZTb1Lqf941Y2PW8f2F6kVfbywDpYP69ET8rKLpV6o813
OlNzbL9ZYSX6lUsa8LYPKkGkp2eUINcqGOu5eQAlr+2pdpihB+95aBTcJ8tCRu2FiGGBs51daV9x
xXvsQD6lNgchQvNDCfu99k8ZHKsUCM33ObAm9iBE74INWHM/3ruyjGfm3m66zJwMt12aS4dQD0Wm
XZKNK2o90LHKkXJy2hFXdZZbxPyM2MSAOzrMB02+NIkFK7MgoBsX4zUoWuvs9RptH+PYDeB02mcj
VbUn2MIkVi0+i7PqkF2VVZDoGXOT3z4catwHWKbbzwUmgyeB+6NAtVFk7R0d7dFgEGB7fzi3Dhq3
PWcFeJNOb8c4jM5SeOMWVwx4S390Dsty5zOIrYyPe4QfQ5MWPXJUgNDnl3bASXmJ595y9RnUfIz1
kRS/7xYa160znyw5efZqTFmpdAMtLF5nPblNU60zVs8vWFTzbQO5+JYSDFCkooRM1Y1cWUmh1/+L
vfNYjhzJuvSrjM0ebVAOB8bs30QAoaiCQZ0bWJJMQiuHxtPPh+oRVeyeLOv9bNrKuoqMIIT79XvP
+U4H4uOsA7LDAiI7nzbagKbCWgTdShosK9FGB+Oe9YLw18HMh5+D41C+zOCsW8u2Am/Uir1OYX2d
uIJWqEQZSIHD98GNWiJwms994nYn0VRorZ1wR+DlsgVbUO36Mi1ux3ntijjlJE809RK/E564NUWL
zxu8p9+auNdaO4oAdWtj7+eqne4Z5tgnkILzSjPcxAj7t5j9rGtSY8LAWLzw5KymFKd4zQep7Upm
OkHUNO02W+itkgzD807AJyVSA1ghXMobnvZY4UsmiFGM43sYK/6CDhLrdmD9DnAuj5tOn5fVo788
oP8X+3ZJ3vtEaj9Vs/5oPUcw7Vjtt5U+5X6KMzoYVWG8gvXAIaiRcTXj6tvqg5JYj9NXTzGM65Ck
875UT3jXNL+305cwLy66jgyPVETnaJaI/SrLQ++lKsrHSa1S4LEEz5jVWbHwxmnGK7lr1o2dtzcj
qQZAMlKSBkadpN8p6+9rW5M/4oFwHafAnqMlXXVESZMGTT08408drkcz6SFKo23eKVu2m7xb8FSX
2tcE7bEYpXikUFr2jtXxeYDBeYamDhXY4kOhHjcWvJotyVv3oCfUteaRFWwzADn23etkKdpoDekF
bZJcxcliB4rt6pBTfRMYjKg3gSWzByW6wuU0mHrKdGHfWoA9Xftm6Kb2hABovIpZUi9l011pEXVT
GwWqKc6lapagGnS8gM40Oq8EU9H1y6N5hwIkY1aCThVXrjJGDnEVg/VCYG6B35JYB4bI4Z7uH5qg
yAC7XiBoMhrNe+ia1ntLDUnWazbxtEHoLJyJJb1JaRaTTyl92VShzrBHZUPgVILQTUYV8pyLkq5d
xAL2MsSqfTc1oIPbht4WgZwp46cdvekSfZz4ms2EqRikcnIngdsqozzy6wBB2Vm7A0lOyqDwGuTT
+WVuaIbwd9xKS2/2S8pM1bS87A22cHOa3AhHZr8sNPFGJo55FO+SBB+TNHA+EuqGAtCyCV61nwd0
Yn7kaehZxhrfvdmcHaK7dqS1sph4qejoR9okjWX0xUk8rfQH09EfZNI2h6pOCUnsCMIYUByeauXa
mCt7sBHM01jp+5J5I0HqMKOrQKsBlxd1Y+9BTTJMoiPLBq6q64X96YyzNPFLPS7fMjvrAseayLez
bPQDiOem1qu+2Jho9pZjflgcfXhibTVwMLlNy9Cx5/ZVuHh9Jty0yBdPp4Jdlh8iiYpjnjlfDv/2
NI2h8ZDNrU2KL6J5WcMrKTEK+KBUURZbnXTPcd/QWUa/vqbS6foOYi9Rm6gkr7M+lZyZJGZcB5tR
VKjyPXTkez0Zlxg5xRPSAv2L8Xl2mPVw8MPC8x5hrFBKOIBn0mreNaOFqt4dJtzhY3Mv0PYhoY3K
Uyp4ItzJ1Hc27MSd02GyqaYku7KZhuSbruiTcTtlGC56OpMfOD7yq9EtLJN281iSMMdhxKiSOdD1
utvrg569JWO7XMYQ3EJTLK2Pf6GBj80MZEamcaQ6ETvXTZpgxe9fyTVEgLFI8pINrJBMrPNngYoO
zI1TPCEA6W49ybRBz4iIBVHw4aamumSuRtSrBw5Lj4arJHamD2Ui7MrS6N4hl+lLtdawM8qlCNYc
xF2qm+2tg9j7Uldzsm31GspUYWpgGnEgo51qXuo26055alyDmyW1LY4JkhPixmiGFzOUy6kesg/D
dZ872bhPucsDUbS5b8wTkZHcFKYPLcF2rXFjDU2Hk2khiwHwAnMQfs0RzUEdwNj4cOb4DmI86USO
J/2iQAiea33FhlLxm4whClxrsg8eKNi9WZjP0mt+1bGnb0yXkKVNBnn4oqr+jLZLHYnDav0GBSzN
SeFDaq/3FPFZ4EYMY504Dffx4BHjCJWZskN8cEDvAtvS9ENvYR+M+kvbwT/IhHGDdPI2L8uF0Kfq
1wjrm7hozwn0rPx0O3JisPZg3ZsjOGzdnWUUXx2gqwQX38bOPfKdcl4ih/6osHGFZRUJBqTI3msm
k5V+UQsOweVXTwjDhiMs5LF5uhW52/m1U8t3IZjkjLDmoxZfQZpAG+FJlUEidT9jUQlcszG2BoEI
7FXzZViB5m7RJo+sRCjzxrZEVktlBamaA+9ob0gX+rCyMWNlO49mlhy56xCXkuY+W1Tq2yliZBO4
B2kxu9xi7FEQF7hd7OquayiqiUglRboeoPAMMzex9VAYeMdhNHeFlyRbEAWci1QaHYcm2prpSGSG
KY55Gr8bEPTqbNrHXnyUJWt9B8GGuXQccsN7jBdtqAXWOAIYrGX7C6zEfM/b3mD3LjLnJJhpwj8F
oGzo0V0x5tEzIGc4WwBH2pO5WN4eABVpxr1cfOq3jRfOQm5t5r8HNAjNIe4i4WeJxRS0VegOPVPt
tMi+VWx/uG7AresJaORkfEqiFtdUjN0DnkyL8X071+ZmMbqv1IOYEVu7VvSAmDA6AbDb6XXVb2Su
HruuuJaFY/nSWE5Q/cDQdOsRBvuV0SMwNNsPyYOy0VZiSsINBxQBmCcfup0+9j8gYmGPVLI9dA4z
Y7QDOxKFzHvLjqgTXOxTCzQ1QxtvNY7fexnZ3ru2WO5ZtIoRU5KvjiEgsF407bWYLzgLkR/UGBkH
4myrgIDAeQMMJ3ti23zMFGN3F2IXk5zmkaMUMnPcygST+o2lpRhNTHFtzk6+k6ZG9GJaK0gaSRlU
ba0dwlBaBx2n9t1ELPlraU3ri0w+MlX4Du70KyiBnlquD6yFaiyTbrotc+RUJva657rUT1Us66CM
w36/VNHRgme11QmJUwK/4pxwDl7yS9tofTC1Sx20YsTZ6yTjG2C/B9FFHiUIVcCAdxkj0FQdRCKt
46ipVeHTJ1ttdTOTnyyuojxkdMQyzXHe5FSuIFakqdnckWdo7GbNvmhWn/pGNd5kepTxi5Tp51Bt
AjPW+n0iU1IQRbQc2lp3gpwF4zYVWJoiBsFPuSMrP2q15t6S07hZU+f342yvP588wfrvt6BOGOAR
0fUCDhzput3Z/ozHeZObjFJKWCXdxhGTd+qYvvlUsc4NWmhGtNiP93ivhj2n92eY9vWD6NsisGn5
MO4itUZvSOjejDnEfwQorXwCCghpKOqIzcXuQblCP5DjR1vAzIzr/kheAchIPX+bGwJxIrpjH2EU
A/drDBx3ipKp4x3YU15Y9LVTaqpU7w9OUwq0Jo5DKdHNbz3aao5TXImyHHd6C49qFc4FYypGXxXR
dE50cFGLndUnKePBL1vnPqZptR1I6LpZmPAezEEYu4m+S7ZJiXOvQDbdQMVUx5SRcumN087zIrHz
oM5fVaiLiS1RdkBIZ3HjjSQZEvYQc0uN0R8WSMP1Mqh9P8HuKvIOLQwQyaDHhbZfhDkcOCK6J+j0
hC73VeNbSTadOZ09wKa0fmTEoVN5d5/gvRheZdGPUi75TcPO+EIo9SdHd3XxGG/FICy1HuBz3+4I
CRmuQOE/maZ44WPbU6m8Y+z0IAFjTmGtDWFZIe96Miccl9woFd+aukYfqWT3DYpep29UaAYdysQB
vlY2CLaqeifiKkQHnZr2Sx/huqhkVROpXeN+zVZzSNkPmybGH7qdU6e8p69RPtXa6G3xE9Y/YVVZ
lwRxwNlsGiuI51WI5CyJOoPHemdC513o3Tlb+FpU13a9UtqXdNt5Ek5L3UuCaEr1RwBJ4HhTdsQ/
Rfu0CZ2g0apirwFHZzNxOSZKIznN8UyRzkFTUpNVIwbR5QfCHfKnEY++xpWaNnmaKrohzrucKngx
kFi3tkXOR1tY9V1ugcjKUHhcA+EAykYu7JHH7x7wQ00noIyaA0kg8XU0lLAGq4pj+MCscwPVrl6u
clw1Er6XNdzPeOo+h3RszJO2ZPN+GKXlbi1nka/gnMlAsUc5iUD1cfJV8ZDJrVXPaX0dR92MC9RD
x5/rZMEELtgP27czhcXPET2smlEHhtQtj7qJtbge8vJJzZntM2F5SJ2etdVT2QcBo/EudY3JdydS
PfWS/SJra/EUZiWJ3Dj/CkOdYGLCfALwzmNIysRNqQovSMnI4K+QS8vBuGwQmxIC9MwHqSeiZ6vX
DM3ZHTnDt6QlZLu0rOW1iD1jBxkC6xzKofKtrmrrhCfSDBZbVrNvsyMdDBEOT2MzLw9ZODSPCTHt
N+S+6gHVC+6iEuzWrKV05Nu8zg9GzUmVj056vFbhgpBjNlD4Aq430MDk+OIXHC40C0aNuqNq7I0d
E0qeE0hKRElE331uiF3JMJuwD/Y9YkOnafMdvqr6p5N5pljvSfYoWX9u+8Ltf0FngOkfhgie6IEI
99pLBMmiCeVrCBBIN7KL43rF3htivIH0OnHh6qDkBYm2kcEuXvB9YDkSwD5otzTnMTdh4mqHMIf9
Ytg7TYyQybIanwnK/9XkzvmAUF26FL42ZatRE+/yjcCbxom3fZYQQmM/ziz0TAWIPE7P5sEbXHOr
VNgFI2Yw5mpdf+HoGfL+F+kehA8hfbQkRoH0CdwWgV+inwINTe1qFv1caKkcUXoum2pBizeTGTZ2
456uLuE8bqifW7QVAcFsOpACLdvmUIwPJamlW+hDzclyk4vTlT1n5uEU2vqkbXla8CdzJA8shSVK
tqn5PlUSdV+RFgWHZ32W+w5qhqBtWndXtlT9HoU8rS7aNu6nk6KX7mezfsHFVN+XbttdotHtXhHl
p3dcec7PtPl2Bl2Pu87OCQlvIheKQ4XtbTB/EQaucC+RqSgW9IEb3cvDd/q1Ob0rTH9XpRXhiLRZ
83RA+VLKHRZ+DRFJ1JDXmZF60n2hV4LSqhPFC6x0pFrYF4IQAxTWtfcUVbSuVu6qwg3NOebAlMmB
DkGI2bHz5pqALEK695HbYfKpZHHTiSx9ypyBRlLsNtdtBPEn1NcJTQguj9Dp7ZQDC87jik/ox/Yi
4NLui9rQ72ihSKrxFvdP1I4dxjM6jjtPFAWc0qkx8zuMoEERo/hjMoTbWKEBq+3hLsxzH+1zCyYh
DYayDLdIpL+o5J/KbvKesK6BAWyjGcddVLbFWgy+FuX0shDDtYGxae7iIfG11S3g1l205dSVnKLK
Igbe1I9RnmjP7agluNgi7M5Dk23JxSCvE65iQSrLrqsw+TWRSA/AxOHM4AGaNmiTrKMZIqJCzY8S
aqd37IxA5lyshgKFbblVK5QWMwBQDJfycNkwhdFuCYidq51OagU+NAkAz5KWuEqGvjoiOSNaPInr
B2cASYGVyDHwLRYtU22npDuIWdzsIJSRLsoiZjmPelQ3B5VFrkkl0NRA7kNbnTQwPpz69HnaZW6r
SBtSRLCN0nnl71p2GNnhaTU9YklrGTiUQzLMz6Ee4S2Az2B9zmbDUUmrNQ9pT2kA03GbGqDrumBm
YA1IUyVL4st2shXf6LraPmXmwBZHb+VFTJl87eZYXjPBWkPMDHlhUCqPjomQWBdRVPuO+APAp9lI
9Tinem/D7FYUM1pRHmkjdjrPN0BnpgNEc6Fx4/1KhwrRuGbYxi/yhawnnLo62Ji0/sok1LdN57XF
XdnoQCBUk2L5b4hy/sQBoCNXm6eDziTlIYFzEflZTPKey2DjBwgdeUdGaf6ey4XkH0JI7/qpsl/x
5MPqavuo+JkK0opqlJYDnUVvzcSD14weriBuzasr8eBVWJe3VWEbP117mFkV3dg5Z3pIs6JII+0X
m2a/NXEKPuut131VJQg9Zk3hSxEV1ZvGax9oLRc85SpmR4ci8jCXyfICETR+xbW8uvVwvb6ZSnN+
0mq1f+TtTJo4WQa70CLQ0G4ZJWB4k0HJk3GqNdtmN6lSnJjz9AWRhNOERX+i1G2bYt0FozljJX3W
RBFzENDnGzWOa1vPzLa6BCypUy+fHNWneMC0DmdBpUIgsTBZN22VN29u2YWnxaic7sC1V/uM2g/W
RUFbOhrEI/tW+Wso++rsgBTaM5PQrA0HawLHEuofI9N+JF1BkCLjekxqrPA+aPl8P6D9vUXuAZCE
Fb/BOlcXZ6ZqyJeniCRHkeTUI6VZ1A9zO2IjzOYceCXK63xrk4J8g/M2P9rj7B7hzHanxK7qTyTi
9JUro7OaLY1Lgq1MN0G074066VhZUd2wTriknNO5OZvgQqr96OQQpAazQfxGCmaKfwA/MCW2I80P
A7vxva6Z41nXw+ZBDLL6JZqe/DP856elD50vwgXcm7Cr6+vIlhqxw8ZgfYm+q35lZkZLQBuq/o1M
PPc1VaqVEDekctAGNgga59GGpjeXlnPgCfV8IHj2YysarP2w4UhqtMNWv2iqs58jWRSfZaSeyVKH
7tRSjJDmAgZUwrafNpZosvPSj/PPgshzTCK0V3tKKcSBsl4yjlfdkJ0EAYhETY8TF7mvB2oLzakX
/ZTGDaj+uDPg/MJTTm7nqYMLLRjOsjREsEAtDoZXccrWhbpWdLtxaXh0SBojxJAGUbXHg828umZb
uRkaGzYAj4R5q/eSXp7swEQIR0Z/BF5nfqTaVxumZ+ojWicNs1DVJeZG0RV2W/uJcY2irVc08pOq
yB42YCvmjzTCcbrN/4hrq+Ua3cZgeZ53PM1pu0cxuDYNmYiQ5eSVzo/+jxS4mmr/KgqtETP6uqF5
xMVFy4oK0krDO0VyflcKtgMD5nHaFFbFe0J5xF9AkrBBAA+GYVShKHD32iTfonzJP1U0hjvUwEir
HXpChWFcY8XitEkrWDl79lS6RJImt8nkTDGJtvgXjwZ64R6lqm2UQR2tBKPekBVNsTgRctca6UcI
MvIoYeia2zzq8LRIXWfckofNh5olXKHJhjY2FF0yX2WZlq/0DecV5Su7RhpxbitUWGTgcjPrM83R
XEPLLOPtyOhvPw9FubeywdnmaTfvHGLWDzyS5RGav6Bbw5Dt7GBpA6Rp92wibdh+LGltUN2Zmnoh
0a7wx4FCAprLlzUY3pXQbO+UIso6j4uFA5s/uz3NqlU389xrPiPdD9Ya3D74ebGiDsaeY00V+xyY
66/GHZhEenmanGNX3BHIDoML0vtjXBQWgljoHYcUme2wY7wf78rW/ilAIl80CEgfmsOk1yh1csqN
6rMXVvpkyTjXD8tYeQG2xebVYxO/1qLKuM3rSrtEa2fi99qGVY/xXdhgI5ZivzZtWCOryuJPmqk4
0yUC9MZdj/PEG3JYPkuniu/yrk7YrqlS7wYQ8U/6MLCD/v6z7X+VAXloVRwGo6Y00ed8kwEtpgYJ
zpvc/exE3Z3n1AqLWwuPSWe6b42YZ0KOY8zP9XT4HBe2FNX30GCHzNj03NmsbsWWmWy/zTE1bvNS
tn45OdZupIJfSZPGGTKIBUqrQKwL2FEswOfs6jTa6XID5ui2NUGwjEI4OwtBV77txwwj2kjxyxaP
ealiurAvpgwuLSIi3wFpuulVb1OYiEdw0Gss2Gycm8T5SMvK3sKvJn2dfLlNWoE82HAOQ1E1kXH4
+0tn/htBimej9yczyET8Ir8JUgoeJS6fTaGO1JIjg3627WmukMrO0I9QNo0zEg6GjOxK88pCa/t5
x8iRzX+VIoymH2IikdsiHrDo9IUTEEgyHPWqZe46aeDweo66eUbda6XpoUyxkvz+T1j1pt8fPQTK
BNXA90L24K4Cuz89egl7ST14ytvrqk453XjDkm+hrMRXi9ZdUNQ7/sDmvIXIEZ+Y5/S/GIr1R0X8
8GGUSK8MsCtmO+p0PJB3/P7b/au6b8VAOi7PJZg6dFV//XJgljXHcAAuYPVnDZ2syLvWw1L9zccY
K+jx2/sHVBJhJK8AS7vx7XPqlJvYhrW3B04/Z2zfEuPoqHp/mnLn3eTszhqZAUYEzOyH/eBcEmrP
yS/HJrtC2uPd5bNL2lfPy1IT23LXWb2O9T1ctMBO9EcSadvn318a4/u1Yb3WDSFWR7UNetD6puZs
cvIWEQGBtWhNFoXFJLlB6vQF0zBjks3p49nL7ir65G/5QuOMOZG+jYc8Ps1EDPq9SuZPkXrT9R/f
6/9ruf9Gyy09OujrTfh/u+v3ffpT/ez+rOT+Pz/1v4Kl7H/Y6Nr+Ly+V3/dPc73j/sPwuNmsluCi
Kdx4HP63ltv+hzQAtjIhRXZrCIcfav9prjf1fxgGHTTdsFnZsYfZ/wkw9fsTR9wVZk2dDCvEsBJl
4V/fRs8k5r0Fkh10IqbHuizz/BKbzvQfylJxqjk2WxGDQ4emrPXtY1okuDBZSydwYGP8GHTNZfRh
Rcinuow4naIe/kn6/Zj+R/SrOv/zPf9vkLjPVVJ27X/9d+P79rt+orPSaHmlCHxaibN/XgM90Jdu
n9E7lcbk0V4tYPehI4shpmMmBriFvuPB7Un27UL3AlndI3OSn/pRzpax1xsvPbVObJ2MBlkio8L0
5M35eINNdrk2JsAdf3pq/t33/b5mr9+XW24LIRDw63/kcP1pzU7JxpnHqWTiGVYFUCKWrFYa/G+G
IRHDaehiDpMOKCG3+lSVvnz2kzs+Q3eq9wJQ3RcYpuyprKbuFNHV+fr91zP/9Tnh61nYCww2Rp7J
bysTo169ToHhBL1R2zfJYmRIETD0+7Id4yvY0GzJADGrq7yzaC9pZI12IApoPUn3EE+2fDFJXLgj
WBwUeH3UY+1+opNIE3LALUe/csjeKBDd/UDH4pxXZvXek8i1xwhfX37/t9jfd4b1UrvoW106DHD2
VtrFnx8NN1kIZugtEdR9jn1RMPkapwlC1VQDeRyJVwefC6o40Kp2/ET9Aw00J8MqYwVes7YdT7vv
p6l7c+wBHYZhYPbMNPE6GRnefnEjVWL6pQTVJ3MtuiPWYjh2FTZRhGNvtaBrkoTi1ROdddsx0iiJ
c3PnZDjUs1Mc6X7jIi3K5trWwqXemPGI7d9MjHBHYi4eNtp6QT+7JGLno3Wjaj3+dB0yc1C2WPWV
cBrqL3ieEW08As/o18FrYS/0Or9apvT199fyjxf3z7ss11KiV6O9aFiG5UBv/su15JjVZqKdRWCE
VsHOlJWwx0f92iVqSVrGl5aO0x3uVWylBRj+4gBdbfxymly923XT3TTROBTYdQlJGisae+BhMGKW
pTQQwlr1uYor6AxDG01XUV3Mnx6j5IeeLPArL5+0V8PKout6cVAB5EQZbLCFTtcuopRd1zv63zw4
/7I9//HHsiuvJZUleBW+/bEu/B+5vgRQd4bbqDB7pKGUGceaZf2szY63azCycC7MoWs0bnRl1YID
M+jr+kC14z6JVsy/mAjrH7+/D+tl/nYbsKGQNcgdINja+XbYQMVVDLkYRTAycd0C5v2Kh/lIs3Py
wfH+h54TPsdF7o8TT7dcgyX9r5ehYn8Y3bkTAfWjfNXhcq1vcXr3+z/p3yyIf/mUb28pOOPEaS0l
AoKGkl+Uz9U12C9mGzYWo93vP+vfrAgrYYZycfUy2Oa3y8cjmda1CX6ppJy+srRi+Vycxrm2laVf
mCGy7CKoRkti6Xp5JlxF+b//Av9meaXpaXsSeK2w+cdvl1QbRd3EQgR5J4dnY2TGM4WL/Jtd2Fx/
zZ8fEzyTFA5CMNUyTR1G+l8/xmTJXYnZTjAIdalbE9WbPu8Z8N5PxSOBzHdTaW2tafycVoFwnGt3
i0F0HPsJzAVrRIne90iJYru6d9p6RAKBnEhMl9asMbTMsR7UCcRRHaBFbU/mvLEQivkAdH+lMAR+
f8m+Px8CI5sNgUjaBmwg/Xuu62IvWdM7SIQath2OswlJezPDJhpa2t/cnX+5bBCM1o3PcChgDCJA
/3rZ4iU0c4lBOZC5wyh4zrSD1Bc4varMd1Yb9gcutfc3H0op+P2tdnRBJUC5xMoqBeXZXz93NDth
FsYYBhg7H3HXVYFFJBokmWl8tZoKRooxtRctSo50nN5oaoG24IT9EyQr6h49vqL22czSlSTDOOe2
BibC4tbsE1Xv8w75PNk/b6HZvlU0XxJ9rDauC2C5RcC7aXLCHeQ4HWF72BtEMfqZ1liNBgtyQTLH
ZFDDINkk+qzvlBGKG9KIJ/p2wBFMDc3KNNK+CWEZWHVx3zext1k1YLxAF7BnWxb9Y2a7DysX7W5x
ftr18lkCQbhDFodaTIjota20/k5rUnNH9y7ymZQT/NQwDKVFmu7zxCkxU8FwfJvBnvoEYdDJ8qZ2
+DRzT+3tGDf2pugs+21KTHfn6cVjXQ9n5TLxrDYJtnCI+kIFIiwY2WhR8UMKAUe/y4Xa0SrNaPIS
Wj7lpNaZsypubQgeZ2Nywh4iWtMFRmqz56re/NVamXtTFLLdJUZkcPzPoL56BkOxZXQkIjt2qR/M
9scgaUv6nil5GLnzIOqEmJZmbfSVYP5xXzcAJ5UV2/fEDjZbiXJxsvTAIy0cmN6yN3MLNNRjPzDw
JSikm03vax4JsBr7x2bofyFbEM+JWWU70pKKwHOHlyJuTm0xtbu274abEK3ac5Om1v2QKQE/pK6A
FM45LR1v8Tae1dwXHplLgN5vhoxpaFczKYr7iO5d5tI3JQdzuMM1Mu2NJRfnbnDpOLfctl5h3YQr
Hn25Q+fRQA3bg07s8X2LBe21bOqceHtrTzxd1e2SdHLPVVXUYCryHgdKxDRmW5iwRvFsz095tCCP
Duf+qTZThoGamh+1OKz3dOqyW61uosMyKe2SUWjd0imKt2godd9oCixai1PfckTvg4wuV9DbrvFT
C8H2g5BBKa/qhnC0BopTWnT3cZ+/q4EOL2OZfDMCkNqjGjnriA2W6hGK7HrCnu+Ar9yEdITpnqXj
sTKy6iMMjfiR5pmxaaw+oQB3ScJsMuOkMVHwOxArPhrZHLlqJO5lM8a3GXHavl7PBvNGVX6RcjPt
tMGeTwWCW7xD7q+4EW8lQwQE0kaFTEER0/kiW1kd7GgkKGumfR1bExSKNl6O5CGVNMyiF1W3LzWq
HOK+hKHec0Ybz5GbOQewI0zwmS4iPCvJ0i1GiAmFEj6qCeeQqjrfKc2NAgH3ZmvoTvlsq1K7SfhW
fm2E/MdZeWGFnQ6QGscjExM0l04Z7U05Xoft8MsS0VVekevbpp5TIqpEnoxCkv9Ai+KHYfLcYIDR
TTyR667j3ixAk+c+WP383uJ+uORqdO5Ez6rAO7j44P6GY16I81Lr1n0fF9wTsyd6HTtaf7LJjeCl
goUdeyOKXw/FulnV1zLFZJJZkAWjOSaqldzcp45EB/4/ZCq63vAHVpgZZsHqCLwFqbHToAU14vRn
i9T4GnrPeEuiVH4vZiRoHcoIVNmq8+M83Qs7eYM11u4iuC2+reWYEHR0WYNH9o5WpLcVRCe0HJP5
AdyiZ/rZpH7jxbqfZFFzNrUC01TI0Y42aGE/W2GD9MECORZgX/INmd2R+NdfonC+MpBU9FZ7RCj8
GKLl4C+us3tLn4xtPifmp04C/aUeUip9FzjAPm1NiTFvKVN/Us6dMh3bL+t4OTST9WAwMBelbW76
PiQHWfb7cqn7wFPmezk0VzEajtzOgCfYzoZ2ob0fawdopKY/VBlQ3XgabkoxhNdjTyjARsDLfe2W
wkCNNJYAvDmeEV0EbmU3AznndL2oq85glm4WKNeAct72C9amzhyNbTyiQNzKCpOT1igkt4lXEmbW
lvbOYX5KvmZ4ouzAKg0u46qytOGsGUkD9IUOPbqB+iSctrrYTnMPqGjG8uVpPxNbVT8XpWd7I5TJ
c1i6dtAhyoTiqaxXvjX8/T4TtyWKJXwg7rKPnTr+6dFwPzUu9FTmGe1FmXPDe1F7hyHpSaTsUo6D
dP38lszMY20JBg2zwCmgMv0GI0C/6xoWb8Rw98r4ymL6COg55/bR7WS5bUl/OptjPl8ckjavatDj
V3KR6eqBmwM778KXcvHmV2jkK6AuNy4TNpt9iSz5mMVmurdVl/xYp3pbsnubHRZG+VpHOglTsVcB
VY/YbuP5TLYrSM3Mis50droA5Wp1PcKbuuqGVlyHVi+COBz0R1OPk3vCT6yjakf32vYiuFFeGt0M
SIACZs/DbSPTz7po0sdYFOA4SbMiQrgJmr59dwvBWCWnXtxIta4uXhwbCMJhpxBS58zHFjuTpalT
3d+JdQrVOuXdmBP9GNWT220JugwDrXcB8zZOdemWRHyKpCle5drU1DT7eQ5tASUWiVfZAMoX48AI
tyN7dA8FgIge2ylOXYZp0LNstWNyavmEbRDaoKnmQRMDSqoJ3NwAzkvExwYBDLxSJtq50VT+Yhc8
+GGniLacSsc+EsyyHEtXx7reybPLz2+IldTuSy/Nb5ak+XRakxCLTFlUwLkqH0rV32qtdcBN/VW6
a3rqEp1F5jk+bngmlGOcAizmOkcywUBKxuiGdtRNG9VgO0JEhSrcMW4bEVEYcwwHxoCuaHj9HYy6
6IkjpkOUXp4YO490BpB27aBubcsLn6WSxqUoOn2dX9cnYm6mm2ma2s9WJATvDQ0RhmPJl9F0m2zT
Sfc+3CQuT6uiGcksP2eEruYrhu0GoX+1vgtFaiFcnKz5p+n9T+bOc0dyZc2urzIPIF4waIOAMIDS
Z2WW9/WHKNdBTwbJoHt6rbz3SJg7gswAEqCffU5XdRky4jN7r92F55JAS3LA3ZoUnSisHpoqrI5k
1Ay/xTgFZpW5VnNSiRz2Heo2lFciFc8WSrY1BpZIbmqf+3pg/MN+FybOHpiYx1VpdEy2ojD88ouI
MnIs1X7WLqTxLtYBHvuEtCIiOIuX2o+mtxahp9q0HZGrwKiSOMbgi2d0pessusmTfNg5uTVuXJoh
lMSx5b9DxmOe18TFO5nX4R4bLUK6fMzq1TiWEYHUuuGLtwPklBGE3+3QYN9dFQQi3U6giiiZ2q65
beaEYKYhe0Cm8+WF2SuMQIA5yQzhWMXqYMzyZhi9r7ul1BctWIslYam3xDEQOHC5bmwHYS0Y/EVf
RkSsDMpAb8jFNmcH/9QOTXWyC13YO6UVQqhry3g6woHcxaVLwHYR7bhdEbi7lzjobq6ykzWlzQvS
7ZOJf5ARPsjReWrl8CnYfctZffh595Y4xIuWyirv9WDLQ2dXiOuxLEOgkXm/Keq03NS2YDVbY/W5
waLVEkaA3bjExEFeXuFQJ0m/uo78tn9E/gRvkLxpVOeNY27yKlWIQUjXItm0gjTKl2Agnvnqvoim
x3gq3UPtVdX7tNgEAbSj7R4YLY2/5Af0j2R56D3UbGtbNU14QN+oLvGk+fxjjBwYvop4pTwES3Hl
NnveZEnQc1vfS4VBYbCFeq/qHtGpMBKPmCK6TkVXbpU390HOwGUlolRvhi5tjiFRWC92i16EXmVw
NeIxMhgDFH4/k42piu1lkP7hYy5MsnJpNnq2Ai7WoE08QgY7sjNHmW2p/zuMXhHaNDQ6+bZ1ovJM
sKrl47Grwx1+iRAVk03KC6oRl8wWB2dkF8lHlvw0DCFDQ/IcZ/YwfWifGFHU+xZwCy+3ifaWslDh
xPD+shHWeln99Awdd5Pb25+8w852dsf4kBu53FmDjcIeCQRlsGnrI0Ek1rWd4N1d2VObXxdEG9yS
QV9tEWhW6FaKen+J6NqkridOpcLvM9hXDvGvX4tR6d5OdPIIJq1+XHzXWpumn0nn4zjtyii4hzpk
f8Dajh7YvjrXTmjHKz6l+r4chR+EdyaPZiw1QlmRi1Ob+Q7CASvCxNX3T2Ee5dHG9Ok3B0txkwzj
9IxvkiTKNMwBO+iu+oCrqPke8BAlgMnORBqoG7EoWC3tVF/VGZT9Rpn+JhXo2WrLUa9pY+LbxgHw
1pBRchrZW59KCrZX7Czuwlo6KvbUPND/NEK7LaHlLGUHlsGXKUN6y2RweMk9JoOTBcOxRr4SrXBT
dfd2l4SMU5Z2PlTUayfyFYJffCjYchZIEvcuj+q9ltlcJStrdJyjH9IfJwXd5CFvGcquqnQsdjqT
1QGUefbakbvxrjP0k1vXZnGwqvVCNifFefZs2MZuHDmLrVda2CCR4tDYSFXaZ50MyY0V2NVWkNeG
pqKFbAf/mjYwafFKBRnhJ0vh8pbg2AGjOiMwqapnK0XAIQvpb3SDGG3RVX+Th9N9GMuQh3/IzaHh
W7BQ1DTVH/7oBeuRWPZ2m88yxCoOaHukt5L+g5UogknQ3229GGDdWkeqexa9YGBqQ8jH45bqb5TR
03ZYBudWILehvafgAepuDZ9+EmfvKIYrEpGE3w/ruvLG9MFNkh5Tvkuxay2z0afaQ/DTqvmBb5QR
etNOBKLZpbvnUp/3UxiUhxyDl/tSxnH3B9F5QWvN5LC6crwSdTCNgT+eojmF377EIpw3xSVcDp8V
kdO3RAf28iQwxIw4Efw3U4LXbRbpPhR4jw6plep5hR+7l+gEdVbztvuN3NJnjlinRs1RwJJ7WsV5
GiU7BKHNpq+hu/tk7TbbuWtn58x4D8thkPosqmSNc94ftXWctF9f527UPYOWgBJr2cFq1CF9miWn
P0sTwb2j9x6vFmT6X75oiLkgwB5TITcs2aHj4J4JQVheHUDFfxLmQNf24ls/fOv63cRjBxCA7IQr
rkKOAX43ABVndNrtjS/VfNPVxMVhXV6K3eAP9plpmOI8R1eF/cLF20Y4fXObQom+qXF+fNBa0i6G
o5Zf6P9zpusc3K9akCO9le4IvoHw1fWIKA9+7Rg0752O6k3RePEbKyXeq6FIafTS+vGiSTuT+6Xy
nSXdrwIPEzTFZI2FhuUJ88w9iLWrnDzCS35rSD2zWOohncMCBcfU71y7UacmkeI293OLwUdr2nBl
MFPuZujwx7mEq9FYadtvS+LLXl0oLoeM6+tFEQuO3wLlJPK1UXRX7ZLlnzXl0nYc6/7Aq6pOWhpx
13SZhWHyYj5cTY4F6r6fyHNZT9NMsLhPxPfaQwN+nQlBY0A3/OX4+iIIXBSGhum3E8Nv21nIcCD9
IjcSR1eQ+yxxAu+8kSO09ivz0jZKXcmoic6Zp9LfISzRBi94S2+YbF088xTWF2hsSC4DGqxt0xL0
tUyN9YuwEEolu7U/neOP3ffln6hIthn76GFKPDJrA5QyOUL6lNY+YJ05k0g4e6sGleDauyTn1HNM
C768+G07sA9cxq/UalBoDBK/4xSHd0PS+9c9Z7DPtxVvUozgTHRy15wGiKvHdvR6Ej7md5vPEqwc
y79YKMJ8H/QzcAKOiGnTzsuHNMzh1D4qvfeQvOVbW4fuW8e3fiW5hkn2qfojO656y3TJfeF2WpN+
oMFLYPS7sQRZgdQyMCyLXG60WK6TqtSnKEAYG/e6+ZmLiXFbaQhRaeh1rQlTgIskH6FtBZW0lkjP
pSVIaKSkVTgOogtGYOJKRrM97YN2sfa1jbG1bAOckMo4DSojq9rZXhse65AoaZx9Sjw2siWdtrII
LobuinzDyiCUi+6hjNvkTjjMBeFRIzoMjHsdx6QaZzyHczDXCs0T+RT8xjEVL47H0lWSomGS6FQP
0dtoueFLsuDEyue2wWa9CEaz5bTxuXuvkMe613IwSDcpV94GEWQncNzlmuKg2TrTMIKt1MQ9RdF4
PY0yh5lgW/M2AuhOD0R/dR/OdMVgYIdTi/vwW7WgBZqC4CbXZ40GDrx6LgM/f1LKLMRBqvCFfX1N
S5TGUEo8g+sIEEy9LoJMuBsoA/JFXiRTblM4j/1cRfSzKYlU3iVbZ+m6XeNi1WnHFm6NxuQMmIBH
JfImGDkjtSR5ijUCIsyuSIZzQgE3UeIpyq15+OAYJScvIOUyIjV1pLRHwtWDVeHHQjCHbspdl4bm
oUeddigo79FsMR65JD06iJQjf7Tu02LObnRdAy0jFWKPaanYYEANzpOHJWvMRbWTesk2/tDRA3VF
sMEs2tylU32Hh8l9FlO8qlrnI62Dz6ggGtwnfS5FsooxN0iWEtFaG6z7ubgOTOwf4MHbuKx9d43c
WV6V80jgRJc/VUnkIOEckj9aOOIxbD3vyeB6OKaUIFtLD4/IrHMO6WB8GAkAOpjCz28mblIUCuBC
VGYegHaqRwio5b7r22DnlEyZGei612Plmb0fAC8xHRGiLEPejWztk60Kaz/F5RG3Ubg3Ho9RlvR/
erqVn3mxMUlZ09rMED/xxoYIrxs8qyCAbKcutrqt8n2YoNsnlaavecJdsuPdJXnqjdkt7GNdXfE7
Zte1tefu2+vK5aTG0b2Vpm+JUMcG0mAuQrDN/GnvxbbZ1YQqkaPdO3Lr+LcadD+O/7xBtep3ZpfN
IWSTntVys7V1cZLkwS+NtY2y6gb4tXkvIxLEpKX2xprEca4u6H5ZBPfGbtd1F5ydpT9YDf0d1E7v
BAbkltkvSaSi3NdJdl8jzf9KoKleJMnYVMdyYpw/zCcGYM85xBbV2OGaxcPaSYn4JMSsOZJvdVJV
5tFLTMWP2+MzJQr9Y1nUWQi6CqARdQ27xlHlit2+w3Vg+bvGpwVa/PQYOnOHBDLSUEL6ik0WpUeI
bHXKCZagQYZFFIIT8autFCU+50s74Yto+iA2NjiVA040tw5o2s20U5y5GztU+bApUv8LXLT3iHkH
+5BKnIS0TMsJdt6c9dA85sZj1lInV74FhXPvlsJ/bwdhqc+Y/8Dr2TbYaMhAeML/jTt+hESNtn3Y
5ry3zZpeersQIwrAOmoYZSD6uicdKn7UDWyP1ESgT0JyoyIAs0riytO+k7LAHMZxPhAZkX4S0c6t
GGY8Ui3J49mThQ6flSNg8uhTpTEHMbpCwr41IaunIKU/Was8EON7FGX5faRC3yXyQUKMnQ37ERa0
2bnwh2W95NMEVMlhJhoQZ2YU92EA0eJynoLWxZmePmTjkD+a3uO05dxAdJxhZlqROwMWOEiD8J3o
QvM5147/k5NNgN44MiVhjdTNHX0dqeZTsVsWUORSz6I/gIkA/IsmjrWOGugW4wZ1ibTaNwbF7TZz
xpYVZh9ehYHPDN/C8Of1OLSW4iawyVBEh3DrZg7u3OYzscF3s+e69bnfVU0snKVOXdZbj54YZ5u0
80rd+xQk1zxxyXsMdZ+OWK+ITrfP4Sx+Wn+CXoHK9VAMOmW7NGug9wj6yuhjUMODr6c3JPtTj9OL
MiNbXH2cyOtQUgGPrtr6BkVxtA5aHnRCenA5+85FZCPMA3d3xQ2ZMyXLiqbc0gbQqfbwEBT0o6H8
XSDxrtsLDoay51iBhsVUiKcfGwoJlOhYcEpF3YhDpeqflQGbPaUuQ+rC1zcZAga7yK8718LLNYF3
EgBnUvwdcfxGv1DaW1RpehNCOzoOtdt/pCLrynUbzNNp6TsoKIRVZhS+KWthjWXHKo3iyEsQntbA
JlQEAESYjU2r43D+lADji8p/1IQPUGgxP01ti+WIn713yrro0Tlxma1O12ntk6YYT8vbHNK1lWtW
WUw2Ah6W26At38ZRuPeKlCO8WL07fyBYzqEeINbyIuTvs14Ewy/WepREC/jjbI7sa/hPhFCGIT8G
9GAWdsJOxbcuo6FvelO6kCWLb9JBwQfp+fnxk7SSUGxjXxTPtHBQyzCak6a1HktB4nJksS/ohvy5
BGXfmmbc+eX40pMTyU9QPbNA3jdChoeCXdLWLG23tue5TTZ+6zPjzizQ2qwUOVfS574OCxQjDZ3J
wIO2KgK7/VMt6U2jQ7j96bwPnRaVKuGucJi4shnkrxeZMoGHPog/ZNh0KG3MynMatYvmEsx7jRom
2Hh++uUYx28QNTbjoaT/fLMr8E74EfTRx5L/Q862jQ7K4QEZUzx8q1JHw2PhC2daa9HnhzzOL6kX
S3gOE1nirw46rN8M66K17amFryvUGDsCdZ+AfO9DYlO7oUmv2JywcnDK4jC1UVFuWhsv+Aquy/Kw
TCmZzqEYu40DMOAgc7vA1lMb1gkgtN+Ivku/SbUQSHWF8xjA0mZOPDXpyV88jjA/HO76nLXZ4MQ0
crVjnYicaGiZoMEdW2fwqnVA1NrNSB1zNcyx6lmhNR7bNAzaAGOLmpe9tx1vM/b8yNeWY17yDqKJ
lIvcpgHm9lGKjLLOOQYhon6waf7eJ2ELa1/QO9d0cPUqadkqwtPQy33V/HRZav3WxJqv29BY5/xS
8Y6Lkz6g16tv3GggjaAsCN5aluDAq+TeRYyDXrzECUlFhXIvh6Wi3/P7S/qbg9m+ntZelnFuVU5+
RufkUZYN1M6xHk+cuNN6oJbbGU7pfeDm7P1reH6Ya2PxWjBuuCIxEzR3HiUbiE7Bg1nIHc5F7X8L
HNh4SRcgGmmeTSRBAkKD2HaxGCdm3DBDcjd2gre4ARf+1hLW9ih4Pu+TRvAoKSLSRw/gFOb5blWz
hwIZ7nabjEOWAdXgHW1tA1mq8jndyNwvsd01sNe6oH/VgH0hgLks9McKZRsmRdBKIE9MMmA6gELX
qLAHZFgn3x462nfigtNbQm+hPfHFrB2EiisSSfAqhNGwhsUU8JMqCLSv3PmUWJIrR9UDv52x1vLT
Gq13QmN+1RC61xBU73igmNYzTVoDLsjuEktckINZe+kcvKScbqKF1fW+oeuFksDhmYBp6IYDj7Wm
fHQZmY6lTI6COOfnUNsdQbt2OtibOipIErD4ySIZWKIzcMT44Idl++0oGGDM3OF39LfaKjEV2FO4
xq4ztOue/Hgeyz6N7xXDokeeLuBDVSPeRsctNkEIy0tZvtrFdbzcBlVNQE9o6C+JB2HtXAj7DdVl
/5wvDoMpCXVqlS3iEmQLqRLZmPqN1CI3ZK/l2GCW+VFHujljBCt33BbFNghbWAoTEayrBcMx6xd4
L3TJoN7dSp+sjO7LUUVx5c9KHK0+IqeOO8QlgVjOu84blhsGLf2RMEzrM1cqeHE7Cm1yTMpDZyWE
jwRhsp+gye1ED8HCmcyPFWnnmI4O8NfQwWq3TkR6jpdxuuOJLCipvfa9DobsG8sFs/RELY8hGSgj
qRGGoc7M+hgFw4apMUlYWMCwpPrD06xiAPUsN+QEmKfvHsVUdjceEUQkwctquMJjT94BxCmz9em1
DjpN2KAvuX03u2RE00OURI+LpNg2QY9GReDjDaMsfIoHMnSTpqYQIXPvqi2ckfeZV69RHUtMuRTP
SVsiISFFmy1ofW3V1nNYWb8u0s6nsiEIujZevLNAWV2q2npYeyleUKsdbmejwid3yocHixywTZbd
j4xad46Xmbe8Dro7X7jTm4WZcZshRDm5dSrXJozNG8fKW5AX7vVsXeqDscxv3NxzTlXR2XtAZ+Wd
6snyiP0h/xmGmJybEetAWw4prYrN6YDA6kBvmJIS0Th9QpChBzYo7PR+IKD3vVS6Jb98JgWmdC3q
sa7BtVVQJ5+y1FebyguYy4Js23RBuJDxYpy19i7SiMpAHnFVc8TXz9wn6PetG5orggZr7HFCvPlR
UXPW8lWBGEtLcc+wNT0NCxgVZrYZn5Wg8Lqx8yPpSu5dExLHDkVMbOBhyJMh2gIeyZ+ReU0wcWcU
MVY8yuioJW3X0yuga7iduqw66ICpcSDVu0ySH1RKv5JpKwDXcJfG4FBCJGq6C7J9o3FmBjkEo8Da
V2lbrC4orCYHK5OUw1m1CsZx/TIZjp1pCTdTwWLIErPN3jjZ8squjfA2QxqKYzFcvKnigGIII8eQ
EHMDXwCWDgoEtkL9apxYZElsT9i6YaQ61mEhQLFwvQN+o7OnmX7PImAjxKc8dHIiJLlX6JGbJaWZ
NCb7CPGo7qxQZdcyTPNHh/3Xk1/RMdZLyii8rMX+Py01MMuW1T2xPr36hCDmXdMCA3KTRO2SMNE9
/12c93/bMbL/rW8+y9/uP18+8XfNV0pMcP+v//zH7h9/Rve/+ew//+kP26pnp3MPsGJ++O1MwYfy
if76m/+n//Nffv/+Wf43XhDMCxd28f/cCfLwiWCkTz6rf+sF+euj/nKCyL85YQAGHAk9t0uIjPAv
I0j0N+8iyQx8TB04f/6NEcS9uD1Ig6Cj/O8ekf9mBHH/ZmMrxE3lkgQgkHX+R4wgmAP/nTiU0UYU
2ijjSZx1CSL6dx6N2m4mq7J68B94I4q9FU+EiNMcGLqAqA5Yniu8wt004COMsgwztA6cBSeFlZc3
XRux8yodJbkvcnc3IlQ6B5oIu3U5I4VYhyPYmDUZ7lTUmUE6fY7Kaccahc10rsOx38+IbcfVgI99
qxQHM0oRD7Qy06l2kyJ9PyZR17RbfIqkwQdzlr8v6TQB3Xcv2Bf0UHULT4Ld9tquYnWe5BB8uVrT
gWPd3U9DJO8WPGfX2iJ+r8TyDPqVYWajDXZeBKzfg2Nbn0QfE2NqF3HwVTJUxv+lCEGZHZOVK3AB
CZZ2r1M/g83iGDRLr1dABgASNBBWkLwP5fTY4ajbp7PfOmc71Oadhj/eNMs8vRPnCqRqJPL1JmXj
YG/KSmTDKqj6hRKAXA57U/SWSzpfRsQCTl5q8NXQXu4exeb0tmyFRrAnTPSO29BVn3bFmmKV1vOF
8oEeVjF+btubwGOkIHuBRKwfEwYhCCqsq65zoTIM5WAIkKNeck9ymLtqD+O3BoUkqpbJfmVejekz
pFfoFPgG8sJrLqvIkk1YlX25vcnPS+Y1dwVIqJ9EiOk5MgiEVobodaDuk66umnxhJ+82I7nubJFe
yq7Czb/IOliXvoEmXM26Ria8GP8FdWH/onUDeU9TkkYrDevuQUBK1Fu+gullGPvirkIdfZ+LLgNx
MPfRIUn7bo82Sr1lagp9sXLAj8lNWhnqVxma5dX0zdBeUQ0Li/nEZIkd5p/ZOVjekH363cAVFtW5
ck8ibKp25beXtMtZDNaqxFH01OmBTVosgxn9hpfpYd2Adou5AUMmcjDCuxdaKm46g2TiPWM1dc5S
UrVXJPrEBLf0cdnwwM5OvMb2TlCeaEm83o9l3RLTMGZus+11qfKNXVvDHuqfOXel59wbpDrPecZK
KCIsiCk5BJNyHQ3lchdnvVtcNEP1ykQIU1IduHciWfrTNNhJuy+6yicERsjqnZyc/BSGbEPY8TMM
b3o73IiqlNauNS4khHhm32ZPBOy2LNS3UVUH7xFhS3JVovWAj2AsuBzNYKKRQaRT7ALttEfwj322
q4n92Nm1jc5jXCx3RsHVqwdMs1CYdZJFb/aY6ldIYvIrGKR3CscBggPNPfxEounW8NheDeHhxbp2
R28198L7DP00sG+hfpJUTedOoRdNhbnVhKzPm9wY76odPJaSSzGQ3+e2jXnz66T7SjKFIrgIZ1lQ
Vkxcjw7UYvdAZz4TTBnY/MuxPTAXA9EdJifdqJERAHNpyJ5M2IY1bp6GGHZkiPYWTlN3qUGa8XqG
nwe6snFaeH5SXFAuJIjAxrH7GTijHeWIVnhgP2vPSj9z4CjxwYmS4mcGJb/LIuWeK95wuAHsob/b
IKhvQnRK+8m2l5ckMugVndj1vltTZrh/wsA7TUuQtjfK1MOHtaAqzNgWossEYkrzqZ55orI1vlme
SuJj6x2XyfwO2Lu4gRHEfL61KZSANCtn74u+iihrh++s9SZU+tCtwYXBrUgmHCEmE6Y7lb0YgrMq
guWRw8Yvn1D2xJ8ys+QNjHOA00Go26tONflbOruonmWPqWplF6X1qu0JyQgbxz9mTOiCZdbAs9G9
hgnG+322GVL/QNiIyNLWqQPzA6mjfPEmK6P3ZiVs7QwaJKD/VctrNhJlga2gWlznug1n1ntx7T9J
bDSMoUbDWtfwpnhd1zNsz+rkhDLvQ/WCeFU6/VXvNOYTIFmDeGHwMC4zqPMnn5kdx1lJc6pp8LCf
Mz5RBJPhnlpYaoMxpfOmr7kDJu3gRCQ45khPAEcRG+5bj+K/QbA6yq1o2OMe4FB56aPNnN7n70Jv
oVZcLmA/WUAtikABTw5T4txbwKc5bE9+aMzCW3oY94Pc9/LOmUW9c/VkXgo1yfSuTHqWNr2jGGWx
36k+2IdPh6oIJhe3fJP+BCag30zbWm6tRUd0+PgAwicFK+HPFKZOuWG7pD/81gvBh3Vdm1yQNYat
XFn363Si2Kf7Dcsto0iSWnyoOnrrL/GdaYfF3rI0UsNG9iGnlmeJ4LULAo+LO48P9gLk1ykjOCrE
1j7mUTidADQ7B2UGdM+lSVhPygFhsfRB4/XmHQINkY2qrC0YS16J9PnyHlorWYTV2R9alx08Q4eC
macb6NcaqhzhjTVzhoyFfZ368QkyqKlWU+f9TEkGiCmJ5JphFQO4oYGrNqfAApkpxzr89af0iy2C
tRcpKXR9rAAVmI4xCskMk/fa56lm899wEq8Sv0OLxgp8dI9e4AO6nlHyN8fRixMUe1YNW8C1AkD0
qphhwijw2kh1Wgk/b0rkT11ruhMHtcRLArtkWTV2T6zrmBdyull4fH7iICDVkqE29NWkKMHCJ3iV
vD6b4STb2SFXmbV1mAbzrBTDicW43IS8EB2kizQjxKywtwk5XA+wbosdqtuCZNoIrp1MnT/yQvop
kGkBAp67L0uDH86XwEvJjMyY2Hh+HNzAlcAzF42V2BK8CvHFZj0UnOestqxn8CGoliFTpfUaZ5yu
No5OadS1JNdkC5HIqE3ZZMm8ZeXustBs1XRsUsu90WJYYD/g0K+3Ne7CN5Kd8+wYLW73KzUekRIt
Bs8OuKhjCVTGXXMiDOEOSeIlobIgrnUBzHg9IpE4270DlLEXJvkqm869YpkN4jhmdf1Fv4l8vI/q
+QNlXZ9tZq9nLmQsCeDQKHxQ+yoQ5WVGZ6hDVVAs+EJ97CYsRLJrgfAKUXxOusiKeeRVDuVk3Ti1
hNYTON0LRRRsiRz/83en5/bNEJV5hc5cMgljfpSuuJTINWgj1HhYR2w4b/D7xKpzRXZrQpEkKzfw
LzxgK1k2Ime9h2g8LY9+KyQJqxx2OxYNl9tvCTXQlQnIBu7Mcrn2C17TNUJ4uSl9dmEjkVAvbuCC
PPRlWh+lFYZvkBMNHAiRoJICNVlvpHKg25iUT3lO63BObzHYqOsp65BPu4CNPv0g0vdOUwYPcdeG
jH8c4NjsxBbEmqVxeE4Gn3Dt3C2MvRu6bMM6H6hSn7AHsihM731E74gN+fGsAa0y6uQY918IUIUA
jgpsbrADVTl044Qp0iuss/rXaUvGl3k/c1yo8VIdZazrmn1s+uKTQiF+mIdpVmfZNHSyMDJn0EqC
zcE2L1PyDAlBcQicwPLQb+jJ+5c89hjMx9zRtwaJwwm45rDlFWh/S+OLhzEfwPOLJiruk2Wynh1t
Ry/Movy9M0TRL+RJ+3m2JBmrvm+9Axe3iIXR2XI/1pl55/ylXPB0T8pkKTvm+xVQUKZ1tjzalZpf
0W7AfjLcMa8k4zU93EmPubQq7Iys7T5lJOpFLmm9zDcb1p1oNJhkWgiiV12KARDsMpEVQTgIvSLn
wj0ibIXVy6jThzadcLtBaUz0vI9d5FVXSx/kxGJ4MzlGWBlaHEjoUjeo26I/A4yk766FMLwuRlM5
245e6oVosSRZB8k4tfjRkzq11jy9iXeVIk8eOLOyBkPDMqIugnVTI4qvcUYxYHAKWW8wn/jZMamy
pZ/WLIca/BWk/Mk3PY1CPvg1dck+4klrPFDTwg9RcZhPv4LoNeN12I09k/V+KsKtcryaRTUDniPb
TueyvrBkeU6CvmE/7bIbuVkYffmEV+BHsKX/ZHPfIAuK5/g+j6gJ7ghpIZWdGyEicL7wAgv4dzma
YltKNOl4+5Dsrl2iO+lU2Am1c7qqEq31dbLUlEdNnRpv44im9G76zK3iK190Q3KLNMMEt0Eax+Mh
69J+Q9Bwdd+HubbOZJllzdNc2M6yj/Tsg4yeliQ9+oxqs7dUNW158NsYOlSTy7n7KJfZ/oyA9gYQ
mIwff+TEI8aEoCgRUiQRpqL4vY9EOUNW7CgzyaNI1+Iip0gu+z77ww0G2M8tkHqz1jFxZdjL5ujM
9a3HQy4FFpYZECm7deZBte3k+56lsU8ZGEyPSdWX5RHlW2YT3dm4knADw0in9sIxJJZTwIFCBcPY
jmBca9OrMdjPEK7iK7y+kyGCSnJ3YUwN46tKm1lDluodpETcDGW+tayg6N6nC2ys0dNcXrODc8K1
heUU7RpaJNlcwSubowOcXiDVPSnyyQuXVNAdvanHaWfscTwPI+5S9g5pN5TPSTB72RcAvqG+R9I5
b6qgAbCIXhXBid0Fw12mIyhyFHf4B+e+CTcd3463qVlYLwehZDgwoveWYitjP/RWQLf6HbstdAeL
bK1TWubvEeADKnLRqLuECI/v0oubD8udomRV2MsdxsCHbNC22bQp2YAc32OBdtAdsn0+YfjYsMvW
J6cvuaYqdtl/lpRa7yhCdkobRgwsSPoimb9JVXHdYzcKRcFqD92Vxk/3aIQOmFgDwaW9nBFquNpi
4O8RT6yIedpUUZef1MQbS9USo1CO5eyDE7bU8NWF0hBWa0u0gjVbSlYbtMIEMXUtO4pumNVLR24z
vw+5sNQpUiVu58AtnOvIrnCx8tE2cLdqsK0NYkYEvISpYQXqW3vaT6oKf0ijblMAqE733JE6zesF
IfyztILqiLjJQgMUxuewKcis7stFBKtC+chrltJ3b/1CuQ86rb192hBNlTmzvXy5gh9HAFT7xHPZ
P/099hfTiM3H16Got+PSHRu7mj4V296XeU7711kr7BoiE87VgGzuaKoILxlmuOIdJQShEHlbSoLS
alLfNuPgI7CtdGYVN/iINeeSK8toZ/GNvWiVRyfJSgKlRn5Jma1kTEYH6fKEubYx+vreT9FRLGlm
D5vRyJgTW5MC8P9kbnmdfrcYzv/0/zyp/P9ycCkoBv5Xc8v/Uv0k7ee/3LWfP79d8m+Hl//4yH/M
LqX3N+QREYYB3/nnRNIw4P/Yvhtgwyb2MfBxMf9FsRHR3wTRiiFOyZDtNvPOv0aXwvkbeE+iF/l0
cGHs6D8yufwfQoEv/4TAmM2U9L9SdybLkSPrlX6hxjU4AHcAyw4g5ggG52TmBsZkMjHPkwNPry+u
tLhqay200EJWm7IqMocg4P4P53wHVrH8f+EH8GuMiSi3gdlGPPcvCYF1r6trVKh1al/dHDbVUIdF
3e5YtdU7hyw0hOGEEfzLx/b/QbhwQjIQ/k/+ev4YeK4Yn0rbgR32zz/pv0BcTDmp1Fh8i3K579+5
WMYwUn50nOLSeh1RzF204nSj2i0j9rnkFlBG+AZeYi0P/Kd0B1uQJRKI4V8yaUB3JSkCkkKlaVjG
kXxk+hAdV6u3QjDu40OC3RLtMUHbW6c1rKek7zAskD5/BLXRcb4b60DQRIETqyOhDKbFsq1o7oPE
HKGtW45LkpBC4JQhJzorHHMLEFxEphlfT7U0ouTi5dOftYGDdMychzK1jQMh9ph6VtQWn6Y0i6u0
0SjCrqdzAm/fnjVBQSnCkN82IUh/oLXLV4wH/r5ebBZv+dw/ws9kbombKAWNPNe/CZnpjyOb9lvi
DOJk1sKiiPLGu0VweIyJH0LNSO1hZvapQEWvUwMVJ2fz2+Jg+9lkDgRUJxPqQ4wRK2VlWm/JjDJ3
BCJ8ZBsMK5e9HWL82NjxJSZy9EiFNTlWhx6wxiU27Pk4gWJCCVvsqiVewtZpx/MyEDfAIDreNmw2
t+7YAkWlibJ3iwtug5kAfRNr2lfZmg3I4DsRJ8aCUVSz/EBZHm07xkDwok3zQNuz8ldrGUNTipbK
mK9xidtznLXxY57baZdRkhwsB2dbV1vptiVKKLDXbvrTlhnOmDKvnpzSY2oXKWO8zk3ZndLYdkKh
LOobBC9Je/Aq4+y1idrF2lA75tQ3rEjc6SZRdsFKvIBVcmEZKE9YBlVg2GxgiX2vQJ4mS3FQiRFW
EcPxHs5pz8qxGFPujiRCLUMaXDiXHYF/WGXCZujahybPhw/cNANbJHSIaxzDxq8M47e7tnrrTdXy
UMIUDf2Z5ynlsdo5Y59vGwZt939Tf+IOv/ism/jHyoThvkeblmvszOQzJLV4YkYpHsdy0jezMUiA
aSYd0k8iTPHJobrr5ZNyXPdNPAxPRQFosSic9ckZIhK7VoPlg63qYALC/4j8ADkXWsCtbaWQPpDr
4nmjPZBJiw2tMkG8ukNzqOemeS8q2+aniZalKvKESITyrz0n8VbMfvkaUZRtXIJCmKTxq49Jqw6T
9teLBnR0rOXg7Ss4vVubggqXS+mC2TB8H/yP6aFLj5qwI8jj0A2Gt83jhQvdhV3ZY7Enfmi05eRy
RCjeNSbHodFoAItVuZSHjFHSCZJytBltrW5pb9jPE6prs+ofdLNS6E71ncPggPQoqil0JiWusZfc
fA6ZLUybG4F1aDpm7FVmhThc2OkXMpHkL6kRLMtBQgTCX6PLImbztrp2+xFz6h/ssVDMX6fmSoAN
y/1qkiwcXXVD9kJkF9Xyc1w59qfV3DHBGYikYR7Hr84p2mdOZo81ct39suhyg3vlRT6KKpOgwXJb
baQTq/zoOTLQPPzMKdxxXPZyxbsSJnFWLiyaW/LWkhxJFf6rBkuvOVchzvfsypQsDpPOyHa4O+0g
qb2eqRKRGgG7DPL5aBltPDTjRN6CsGeoh2n0bsNVujllWq9Ml/wagXVS8HP2U2uQP0vhjSQD1UST
WWbfvfd4b4Kc7vtGg027JxUUBTtZdpxpy56w++o0L2XysxHVNAVezI4c7qMxgDX0893azBUiJiSj
9iVpcnlygfk6W7vxvxcWzDHcoKrdzuNQnbyilx9O6t/JBLCj4aLZ9xrIVfuK9TescMwHf9M6X5pt
tHbDX7f3eqYn6/BR4ik9NKq+UeD+oLvrsd+ZEO6FQixYpaTeNQVEYASZ/sD7vzo/C/cO4lUkZXw4
ZVcc/YxW3Tdn9xjN6AmWEux2Asu8CMlkA9w0tFHBomEGElJGs6OPKlsm/9KUkci/EYD347PISucF
LYOtd0NjNJ89r8JnFFnVe10kxrWNFS6rqOaC3gqsBry96/zWZE5ncElFsIun6SNHlX9ePDwMOKaX
LlBqXpHzDNC1zdSe7YDEB/tE52Y/V9orIdJUVR/odFF/xWLJZ67C3jvOblZkT0xD6+OAb/Vl7FpK
AjFqFdqYv+QDSsz2b1z2kDWS1FU/KnyxXwtAoyPiWrkHxKXOgGS8b790BUwLixGe4Qmc1ZmjsYph
JXqxEqmu1Z0rl+eFu2cGQCZDbzDhhDjX/iwxqz87nNYvOFzaQ1YZ0y7uYwvtcZ54CoG9p6/2GtkH
JHnxlhwBcMlO5G6Qn7nv5OwW3q3H2J6dpvzZ8CfvnFkZRk0nJ94CXTrhND6iqh+136U/Z5mNCCqb
lDl8CRbY3qb1KH8pnIDVLSOI786QrxgKguIwt4W429PY1Ygngeme49ZAqjfL+aPoGvFmG7P9ghWz
PPmilzuLYB94+0b8VilSo6hqcrwsE78EtdZMRlHVoXfW6bxva2tgleZ4AVWaAUrBqvcCH3lQzWv9
7aba2nkTdt3AionG6LQAW5BnbXVffjJ9W/LSGrbQB5nkEe1MIBujZAi/TP/DOY6PUV/r34mLHbhG
GfsjxvB4de24vIehoQssHWaPfMBMOrg/S8QWBqb/Iwqu9cZ4CttAy+44sM3SoBbz9iyKgB1WZV72
ZIVE9aDPMDIMhwHgPFpYvvU6n/o6S06UM3W4WCJLXikb1KvTj0RiMPGsZpbgrnjMW8ZIM+Q2xhso
dIKss7tnvmsnsyXdd+OdpETCAgFkpnueYyIzkxoSHqk8Xf/RRArbRCYXFGTWsIvyLuY6sv1d1d4j
gsGT76N6jW/sJuRucHhGnaTzLorGHa0zswgURI3znZhH3VUfyhw/6aSxb+cny/3oaNcBRU8MwVm8
9L+pL+vdIGSDYRkL+w/Woe1j0WEaZ+Rf5AAhlPfANlKt+8UcVRb2ub/3DJD79GaYMCPpHCDiqz12
f49tIiaLhxo9R+DJUWzEiDFAR6ZYHvHvWJg961VelV9Oj4lMDPYrdpGdUzykr9PIOs0qTHOPr6M4
suzMHqcksQmYberle0Il6gZxjeXSG/worLCYkMaQ9S55gaatmgDBb01Yb+kBGNRVb2YRyw0SV1H6
IXz2ep3CaGhmZptRGR+knp3jWncNS8yuulTuaD5ks8uIZB7zd10nNt1rzFQlm4UbHXwUlcUh87Lq
DrFDHixWeeCvTBgHGv0Dln/xe6R3f3Rmq6euZtv0wmmTSB7ccWzCRJMH0g3Rtpyi6ZRDt+1y6Ohu
XmwpekjBiyr0Q1KylBgL43OdI1bZkxqMk5dln0R/+TdYBgnAl9UqvsfKjW85pyK3/wApiKRVugd2
7axFHbO6ugAe8CFO5juyZ/+RCw4fpjk7Zx9JMs4oa9wB4uKZ0HX0lxF0sc2F7d60TO82KJegrnp2
BadoY7wbJDj2oIUi4CE+EWF7VKs9zCvZPgMyAkOvB8smrs30g9Rf9afMiugJRruzt2IDGBMdOutj
9E1j0X93TlMGKjaRjEvUp0rGpKlKstqlmLGVUhSks30mLZhc7yV3txNa/LfGcp2t4qKBM9GSV5BG
7nVJiuRdjN1Dy5B715MYsgcP2TOopLm53M2JZ5V3LgeJVYyHmh4j9PFcHIEjLE+ORhLvFBWcmuJN
WeU3HM3bMHngYQRRiq3OzR3shPlopOz5OugStQv6XYlhvRVtW35NSzfeaqqvzUAVcEnWPDkgIZtP
rvhNih+GmMEBcENQQqyXg204Cb0UJpb7unUnuJDizfRPME0axweVElt2D8etk6NO5SlZ1IWgpXO+
puoau7E447xHxAJqDUl3I5uwQJBAyVj+8eY2ZiUxza+YGyiiq7gOlAfy3WzzNATVkD+ReKKOUYe5
xhtG58kRpXeazGbaogPxQ9fw0j3C9ew8Li4QKrvuBCUooz0eQyjD+Gq3hmZAVEt9iAql9ng1Tvgq
mT2jsfGSvelOPNNLMFcSD57w01NUiizorEyfO0ua4YJmjj6rrkcmbCVbcFxJ2P5l1wVl3jnhuuqD
k7aH1qSGWJ3JC6QFmp5xc3GM1pLzb5r4UUdgnqCyLMYWZLZxTuIWSYFsnH0fLeIHyx5yhNq4ODV6
HUNhiPha4GjcytmfEGBn1i/P9uwfaDOaZypgQq2iFIt4Fd3N9Y3xLKZRPudrm3NWsgNixtYllw70
yzUpScg1Kdq+ID/RQrP3JbBlqP+Q3y3hkQwX3WZn6GgyZN3w29TcfcgfVpxxaJWM1zYbjbO1TIyQ
Z78/GEvhHrU1sgBDAPLiod8ISdXKMPFTwE5uZW9ZMXkhvvMLEa8wmOCBKRz5ie3QRZolo02dUydU
3adQlYPQyiY6mBb/2NvWQeercTLtlK2+mIeHuxb3xCqX0T7RbB6kUMvpHmrrvqu/jrmJO8zbsWj7
mSfzrWI9csgT/eL52Q6kxPNSduS0ifu1pAAWibsotex+dLH/QR5PaE3pZ8dgIyi6vMVUVCXPmR7L
A/4KDvaZNHYnny2eYwgGvpezkklKMLTOeoa7YGxd6RWHEnmUs+SsL7OkOERmlR5R9sR7m0mraVfp
xlsqJNwFDR6hUqTuSMrwoylprtakJDTTymriZkkDDNK5UmE2ckZapnHAP2GHki3qPvbLCBubG53v
2LatgZUaCS+dPoSZzL2kZKdsPO2GsImmIykIxT51j2wkz6K0DqtNxEgjUvnWNO5wMR3XfksROnHm
gjTbSmvhYiT4qiSmPVq8MfCyUe5WoBTvJMAVoUeq525VsNTK1W/OSW1OL41bPubSxOov+fpJbcH8
nIay/a607K5lvpDChXgDuzd7dLPBNosdbseIqTlmHk6wFi1waOXdcl0tMaH/tswvm78fO7oxHwK3
0g7ZNF57nDLPe2QSLXeoXQTwWczpcYG2vSVGFNkri5qIHCVRf9jKMJ8R0eB/tbS/PJUwCC18t6rb
DdKz9nNa3XEqJh897its5rO/BfofY8jFq8IWzQlVo2bMTnjDJ7u+xlAE9EoMj+0km351T77/Qupb
mCb245KyGR7S33M8fjNjV/bGbGoKcavFdywVEXO9wAPItWkEsyzwQ1mGua2Ncn4Y80nQZRvpgZvr
kAt5uG/MZ4fhL1pW7GDlAa8uLxT6Bm7bbzVbD0Yl/X3vrgdpiLPEQbGh1tq10/RztGZUfNq282PL
dfDSCXN5sKPk52hba9DVxrud+vJWZnr4NKQNrZXdSZVTtiD3gmjR0o1RohgvxBRea5vBdIav2K0b
dUEYBQVWWh8c4PFGma18t7H0oU5WSwgR4r10yW3JFOnoa5fsqKGDrsmDpR6+R7O3NhNX88Z32VYC
BEGzXKq/uYvRhGVVmWvwWeVrq1LKS4l/uJ1Q+HGB78qosRlu7Itq+TAaaMDeXQKYzhFbgwLW1AtN
NuHYTnrNoolISTE8zl1BqWenyWPS22/sFJbA1biFRGFSLwomRvCpx43dpzt2W4gZUvKUtRLOg8bl
E3qonCFhZVFIcvfW6s2t6uq6C6SYTk5Okrl5buY05XWsXu5iSWz+p8gnn5aAhAe1+roL+3EEIFKL
8hURm/7AT37K1h6oFA3Hpmz0AS6w3pOPYUFvIXPhiMpv3Bk4D4+GSKxD3ovpsV2n+FecC8SKrv1J
y/9qIy+dHwmWYGHzx2XO9TqntH8YeqNjwmRoSwjchQ0YDTVSjR12C+/gWAWBqPN4i0vGLeNYN++s
+9dDnqHB36TgDpD9NNmmGqYubJuluVguEzPahmg3uat6WZM5DSJz1dd6dTSzTEu1R6UyVlHQfNgN
6YtxJ8UQ8K75QZGa1lhRunUtd0Hj2Njp2yS188BztrXG5bIogHtZBFISwzVTr+Oa4cPle/uPvneM
I2jHdFsTMEe82up+QQQBi+zj5YuyF9gJyd4FrrLv/CZ/Nyom363sHke74s+VAueCohWFqAHRwnLP
Uycjc8wSWFlW0TwrkyyrlTphWV0HXIXRVse1gVHWzvNPWU9YiTjFjwpA0JV9KuirKSEuLwNjhoMr
5md2mLXtXdy4wWjDXIhNH2ayPIxshlBJlTChauUfl1HXpkeY91ipTD+xumsFofHMw2G8zkxSSSez
rPgHHr380nt1dSL0SJM8m2b40IyoJ9UtWjROIdhQv7oMxfCQ2xI5IgLVOsnHsAT0EKarSRgvogjL
4FxYCoHZ153iy6SWcyUz4z2yMD5mDa3HtjeEePWlhCpneTnk04J180X3lGRu1IgDZjDzjC+g4ums
SlQSelHugwts8ByhqTvwLfbWtNLhQi9vvRNKLo9iUO3fPmkoHSOnv8ys+/aVYZtPYM/im6Fqe98S
9bqHlkMBJFQrtnE6cvNOTSkv5jSEHcWfLXwkaRlTiovfSesFwXR8KhbLeuXgr26jspP9hGUQXWXX
tnsL4He70yZRz+Cu2MvT/DdcfehTUTshtSKRiklYvVjJp6c4L8gdmvM3S3jX0Qcv7i5zxboWfa7Q
zndELMJv0xZk8VieHf2JirR8pQz5mfmSkLq8e7LG/tXy8TpP94HXuM6HYV2aXU7tfNba5HGVDL48
VU0HjZbxs0Gde/AaJwuaODK3Uz3wFDEeZHOer4/mOEErNAtCBRfXY2yWWwOvlsOATiE+v7tcaxIk
HzyIFgH7azIWk+FtWshhNK3uB3rVNuhQiO/JnVIP6xCnz4vRt7+cmJy9jRm5895GetEGo8Mqt5E0
NnH0miS+f0R2T7kzEqntjWd8SRkHns5Oi+X+TSn/NzaY0DBnBMVJoAFNTaPnv4qi5DLp8TpDQwL+
ru6SOnd9VLHynxIXx5GYimZXD9ZXlaAQ6mRqX3VJbdzh98VOvBifE8jybVT7v/xBeAdW1VAapUdk
NFYpDg/M/6yIiuyoJ0scuHVpjS1ku2b1lhUCkKng8cO3CnVCe8aBxg4oTlc8DakyNprF1M5th4ug
UO892Hr2ylRyO+EkPMKhNR6mRfsMMZzXpFH8dnnJeqXLsw3RLFM4kga7EI+6sYsGwZZ9Q3xoXgTE
YwgIMjsJD8uVyHOfyRCilqHSz8IivTDqKiAhuHFPVuS/kA/mnJOqejF5iTamnHeQVv2tHorXusge
lgHEAUxGONcWRJQNyvy7KGpczQPcumFnUeFwFjIaBeyIW5JgQSBTZx/n8R332jk8zARK8AJxIAu/
a94W31B/akl8jVEnPjRGMis9X/bHmseQxOcGGd+y5qTXcSxeh6SPHrt1XU/LoLwrIMUiyJvsTcbq
ScEz3Y2O/wlFg6BbJE1Mu/eORGDQLfaTT110TpMx6FowXGX3vozZh5xqBq09UuK2dsnIfQKQmoQr
C5aXjtjkwCLI9dk26+5MKtoQTrFK3iUBj6CmZkoa3SNj7LwQG7MbtknjbF2vMfbl4MM5edLsmq53
4CBxWuv8WZK/FgUFunVUhh2zl1HyBsSVvIjRYi9GUpu59QAKxZPjhVp0RwHNCOgMeXF7jzxFuhWq
BaIEFq4T4sOqwJSOychR4cZvSeTduCTLvGP/d+4FUCOPni6q34JZA+/PaNUXftHshJXyDcTDngGh
tas5364+cHFkJZM2vtacwoz7cH5K53U6xgBr7si8wfyQaWe80vfbl5VH+V1XBSpsZuwJQu+kRwRe
9Lg2ASL/UtqfvhJ3oK9jaOBPLIXyXK5nhO5pzvTWGd8lWVO3ydC8xkvOD4EdE7Bd7INkyq9DSplZ
NLb/WgiULImuV46rzpyQh7nybUxEUu2JepTXCrtlxSTTcWqqQbJHY+kZFSBIjY1sjbEp85GkThMQ
cpK+ofnvjqyjKOOIsEt3dNTOwR1L8NGqbiChuBZ2Xx8u0kfmVl8JeudgWIYv2nIDK3pKGLPZWl8F
BR8Lt5WB1cbIGIn0o+mdJwv7J/s//gnHpuqvC6lhlJSm/CArineJ/232V8NW/W/0Iqkb9FZU75px
koQb2vVunZBqeVGsrmxZ9QOQDcxmEzvhDqHPjph6+TQieeNtd2MelNblpzcmyj4YRtSxf0ognHqs
fZh0VRtKxembT4cs+YEQRBf51AE3yLPS4HphGIgqyLALB1kERnMwkDIxWUt2wMlBQiEHDQhVLweg
WwrF+7JmSFtcpUm/Axn+G23tMEFGxfHWG7hurAFXn8VU9uDqwr4Vs5HDtok8EizwvwILUlSVkCZJ
jkGI3ukUlLSxb0FHBNhaPyu86/BiouyRB7/droY/HiHVWjeMd59+z0QP6ZJVbFCJ/3Qacgt7J26B
aqyP2I0xtjalj85pxSuQWEugUM1AD/xo0jDvYQXYFmwG4pf5/la8xYCkAQd2ez/Ftl1NOHd0XONO
ynBMay3cTVR0JxsxW6DdtTvQBSa7HrjC89iYnPWj+qWjAdFtViHKNv2pu2Yewy/NCOzZwWVPzhlk
2FeWTStsyix6mqs53Q3a0D+jQXwXK0OH3I+cW9V15XuVcnfUOb5V3F3p0zj79n6SCsBa57dEVbNF
UWuQrZFPtGw00XXkWfaajObwDAWlLIFbws4IiJPCVe/DSqYtxf+A9pE+jYCyaLX1i15ycUjliF9F
+zRoJKKzQTwuTs3q1CZu9H5TuzQeW9cngbJBEIBMvDVxSjZ3vOFdEjlMwGtA7IVZOk/bWjavdGZU
KYPT7T1go9dszqZduYA1W3LrF/u36EwhAl6EajIoWxqaJS3VWWLDD6YsK7agJaYrvEb5wzXWbRmb
8y5L7eXQD4N7yJumOzerSHf52JvPyWxNe5YMjDmHZm6Y3SxEVA/VHL0kk1YPjCv5q2QsBd22AlLD
8/jIp+pQHzhLA1cVyyfbNVSS9QrHNkARvl6qVbt/l6XCM8f2hR6QrZsmRsYHoumsPD3MUl/j1Rlv
9tg8GndIAtM8Iu4HdXQKN/M3ppI1IJuYYVxrypUv6CaIO43AokaUD4koIMNmxUrFre3xT4F0AO5H
ER3suOD3q/vG2gsKhbNj6kNRLsNnPiHj2fqTMROCLKv0nZ/vr8Vqs71miMDVxV4dtb6gbdMRbrP+
w3SyZJ84KSySWSTAMhzGdAx32N+ZoePg+UVXNypcZoqVYiemMxYZBYKlGn8Oi708Zgv3I4wKXNQJ
jUFn12e3koDIGgUJdMPOnPq/XZL0eWi9lnFx1ttgLzihh9p8ZNewS2ee31IubwK80p/VKNPX3u/c
P2zg/IscxSkd8U1t6LcRbXtgXRCNpwLkiTbqD4OF7K0WLVauCh38kgkjNHO7+TX7GVhQHU05Mj1S
A87cBckXM1A6D6u1bzH60y3CIBxrHilvLP71Edy+TzqCdsxzXKa82livgskgB7MajJ9Rp7tfPtw3
BQlrgv7ZkeVJHy9J6GRYSZvgzGB9ZpEd0OyAMqvH9geDoZ/kSP+etV9wjavuzbaS4pi2Esk112n6
Ieg/fwwLcFNOIXM5YJj0NvQaUOwwU6EOoGcJYz+FA5Tr6slbyhVymqduSEfdrdUU82GFdInJ0vaG
nYBh7eyqBo5ZPCPuBQiJpjdYCrjp9wYnZyyxW93uiY0X5NW0BtEKFFUfoNj5rDIMb2+02nqqHXO6
uAab14Hz6BmRhxGsTPpDinb9WMjYOeAUjD+SobLf2nwgOslAtcK2x0TMgdtuD4ib+biRd+IBFg9z
JxNRIAuvoQ/mLg/xfiAmIklk2qbVwqB9SmEWijkOB0NgQByLCmuQhcinWpXVhLXnZiHhLFCZ3P5v
JtD9DnUE6aDPkDN0ebFuLVu8usz2g9QU/l5xmpKLs5QXo7Ae5VStu54wADSdBKwsXQshCh/p76mw
WwhD3uw9OSy/UWhLMLomNJhnlrT+i2U4+pEF9j07MKnOxgIo2anM6ZR17oLjPS4Q59eJ94LM1zgu
9vAB+oBQcZiH6xUHYr5DSdPtuUrRu6TLeButElKmyi+amuuQYekLndl7b0u4MH0GjyBoPZ29teh1
Hmd073pjjk72rtuVHQHeCMRN6dQEjb1eOx6IoMpBE2BVd499kt8F1gCmypRxZOR5p0zKhybKy3C0
S+9Q1Ut1ZJYBtxGkGG+Enk/keq1Pa9Yx3+xctwwQs5ofWM1QfRCV+cNQ9jNI6zdfN/Nj0sFrdSO6
uLwjm6OcZRKWOntK2BOmqKEOjocroff9hWiwhslroauHvIZwUXX50aacfSIfi7kBTdQFRA32epon
+9q4PqmzYv7y+ubVMZdzTJ4GlZhE1FyytDHRix+ySJsfSde6u74gRlI6TvkmRpeDa2Anfayy6iRq
NZ6ZCaAJcaQOU2G174TerlevBytJm9xCzmdRjeNeEXSKXqkNWgXtlYTZ7GAZKbKOO3+mNNtmN2MD
RpU6IvIGR3JHozhm8cQxPcHpcXK95eaod+wkzfNoTd9NJ5j19LE8kPjNaA/gY/PAuSUD9F/LCT0B
YaZ+rF+nIdYPXoV4/Y5+eUZiWWxXBMu32BfVc0tx8TyT8QFArGx+LsWUIa4e9XTWJWa5xBfeX5xi
0fvUA3tJyOkpmUhHbc6bv7Y31kv+D2Kql5CUEaYGCaE4OeSYrQSzdcxmWR/LxLWeRKrSB7vqGZSv
yZ19NdvDI7OB5KuY2Sdv0qbCH8UgErmDUOdF9c6HyGfNebb2TA21PI/r4uOQznWBbitlnyAd/6uN
fOdEoRJ/MSSkhsA7zF66zZ6Q8t/x3N0oT97wcR8F/TDJUcbwWZvDzxVLCsZaO/2JPm29Mduwt7EP
w2rt/Owbtbh4XrRicxDVxWuURcmWtQDtPcRpsoYa9wWHvblPxlYGANaT5ylmfR40zlichiTL/2Ka
nl4qrlcWM0t0A38igeE14EnKIXO2RhZFpxGy4K7tuWtonivzsSiW+SdjFnVlZYVYHVBlziPv9Dc2
Bs5LOdKAG/WSv+S18RuPjrdTHffnWESnJNY96xzZ3eJWC+wVE2PFnHcGvNEATcxNDYRBXYnEZgVA
lmcY5pQxPcNXogC05rELid5tdmvHIIP8vRmAlyX+WpkXnVHoNNWmMUZAfAvE8UdFcbBjGQd2HPzM
fu7akseWVp/WmWkB2yjrea776Dnz/XobIwR4raL0hduVmkfSS3P92gek6i67tCQ/93mh3xTGoAPi
fRZPRjGws6asheE15j/8rFkYRgMj+ZgwIBIQUGQzYwfm2yu6Go6o1Mh3rmk7Z5wx62fVpGrvJWzv
+qG0A5+WM/CzluuKXd8L07DhICX2wHm9z94bc+z/Iq5ZAq+O5csKT/Q4LUjq+bn1G5ouH5f5rJhp
sInhVSWXwykBkE69y1xhUYbAiaBSHks22IB8pnR4QgU/oIwbph1uJW+HmoyaM05hfLC6eekn3dAx
9/JgOi3miN4Ts6SpXLy/K/5Aboq1essTPgPl9PYuLVR9rKc5euiysbvBdMtPyZ0cG68IBTfgUzw+
cvHNgWNcp2jph60qIA9sZFFwBv0ftGJZhldn2SXTLOE4evfc+DqCbRwVP4thwfFKEGH6pgr2HxL1
1eNURdmv3O+nB2mzdGFOixg2n4hJSZysevofUcL/byJ4CIdgr/8a4PF/+/6z/Ff9O0J3vuHf9e++
+ocpbIsrAWU3DI+7pv7f4R2e/w9U8XypQpfrWP/8P/+hf7fcf/gEd4HVUHyz8Gyk8f+hgLecfwgL
+TspD66UtivEf0cCr8R/hnd45KCZiPMFY2Hfdfi90Nr/a6ZlnbizmRhQASI8U/PG1EYitiOhjKRp
1AgteY3W4hE3KZ4ykvC8KkCWMNClDhk6jWRwp545pel24Yr8a0dQxoqjC1pDzQR3jFK02w7Cb7+b
tpYQzvci7gJFg1v85MhiLBjYYOh3/Ck9EhG0zWTVPzppZT35TJUeYpanNJdGddGWnx5B7bGTtpwX
z2n6gE9w2ZuN6MIaEdkVnc+u95owc+ZsK5V9gqUeuM04hms3rwHSPOIw7wfS2nn1zmWAjHVvRG0r
EVfUrX+NwAc+TEYf7501+VWJND0veOLCDGkTAsje30GA/cNBKoN56r9QgXkoXYiPG3qJI1BHyxEd
0vC0wuklVIN8TR9yECE8AjaWGD5dbXgH0zW7XTY2MON8fk8vVd/R5IqHodV/1pHFsKkXyoPMeFCt
y05n/U0ffjRiO8T0/UO39pnu+AKDMxyW8VQ65K8lJhpJtzW+HKyru0jbf4qi2fcOQvlcLTBnCSG3
Zvs19hkWMxBftzJHagS1v2YnCI0kkXo7uO4HJrJLhjd147nh3M9dkI663fpx62ErMqYzpL2O1kec
yrJeEDw6e5TiNB3F8Jh3zZ2yoPty6+BZOBDs8XuZjX8yl82n1VYWjCqJqqxzxl9lb6HPhc0Vf/0b
e2eyIzeSZutXKfSeCQ5Go3HRG5+nmOfYECGFgvNsHJ/+fh6Z1SmpqlSVwF3cCzSQSCChDLkH3Wn8
h3O+g4kN3QLb0+sU1/cWRQJog6YztllXq6s8D70jkuXpo/E1uSsC7CRdK3kXKIyGUxOlV6ZVxR+i
GZAHTBWGxnOCAqEGHJdxpt+rFJ48h+etVfuHFCHUkqA1npCzgbGcYj3gqFXXaenBbZPzrYrKm9Qz
t0Y4eNdzHg97F6b5Ma41ABszDexrlNL1Cn/eV1yS40YZ2WtOSutF68m9YWfY+nu7TW89jywdDyUS
oe2KwZ1Ex5VUA/tEZ14CVZ+OOvWuLEO4tzpsW+sESI/AsrOYo14VkxGzohVpTmxQTu2/NLIhRAzh
Z1DpEnAWwwroOvddIs+YDVYdebYWc5Czn4gTyS9sJPYttlByvxInb9m2xGRirCA2mOayw/aW8Jgc
m3CN2Wwi+BB/o2RCVwbeKsgCwGYAPWjhOwPsw6IIG7Zghohzvessv9LLyE6hXSSpiKsnVH4NVF2j
UHpepbk6d2Rmif++h5V26WLSnzAWIEQ4BnWUDRuFrsqCSdM0ivUjfPx96mZG+VGl8ezzumyKNoAv
MrixTKQlBUpQCNy2OE7Xk0+60jLsTbfcRo6cIPi5jDjW+BXjiIwUQ7Xvpd1HOUIZhXXAImAUsWbt
u9jDce4WA3eMrxPm92GjplUSEBe1wG4SlTvEVRmKpt5g/kRpCeTFLfG9rSinuFheaiDmEOuOtwFk
xeQO0azc7ZjVXpoU+V2LkeHbEMCNRL6AIwOtSmyl17JM8mQzd6JQ61wjNL0ki4NPn5lQtA37Eemq
jXYT67dUswOSjg54CyQBABiSQ519rRujizc+ztSUiCwVoOXtLUoi3wM5NnbRrV8AZGCLwwt2Vbpi
H97zi1aR1+2nYATYXLOGzcr5IKEw4E2No4sCZ8zbACaTxKNorC+6kjizRYSdcJ+P1FuKqawbtYLp
UnufaO8+0uOzKpJx1Rb19KLcoWbTFmU3TmJx7MUhjpGi0HfC88pN37fqJbRraktHi/nVIm96gKG9
asyueAyMZlX5xcpogRflyGOOkr+3WUhtWi5W/HHo85Nu+tTZ+kbAFUVFdxYDDgbtEAPhq6nJrLUR
jUG3DYdK26vSYw+ytosiG46c2o+9FqO3kVGt75Lcy5zbIKv7YJN5QH4YJEpKykIki4l9wnjrZsgR
d5nAxtHDsMV8g2n/nYW/5S4grbXRSjUivm/A3vZkl826Ocyogpir9nEL5DqMFlacTjvami+gJ4C+
U6mVFvEdEmB6WM0b8noQuo0toFGNHV8YbDd7ZxwvlNPdTERv7INIJjcwtTqaUupEYzY9ZmvZ+NKy
NrypDBM7fo9n676ds+lmCpo8u+79svxSOK6764D674M+9wjM6FT+JoPYujEYfrFJ0P7VqHOCKpDx
qS8h9e5TBqezxrICNIc5WxfA9dOO+lDZXJ9wLw8f5EfiQo59ULL3yNIpZj0DRb3tSFKoPXILs4/4
HBqNzysyAbn08hYElHzKB0i4cR/bHqlUKAVOFup4TgXyqwxAsfdlWFchQKOh+GZ7qvzoUWQ/Ax9F
9lqLyF9JN0eGy2iHZjweaUONktVnmLUGluOUfSOKwDo/FdWoQMlapZAsv40+WftmpJ69MoRGn7T+
uE1IeLahN6XivQSMSAyQre7NsshORczMj8ls4D1kjeW+zh1PECInOCS9fAqfZW+wax+tEAPRlKHO
wHO2UrYndwFD8bUVuhaSQlvve2Gn8FEgOq/cbsBmy36xSTeKcXqNpm8iPM/w5/ZhjCzjkjkIU88x
bJkzyTCbEW8ZyOzPq6Fi4JSss2nRmBjr2B9M2ToiPPXQ6rGzN7PjtO5Nk/TZc96GfOnKMHTOQso+
cKAa+4j8/YIAGDY2nQ7QodpGQwdi8vyD6yOLGya5xnTlSpYSNwYsd2aZZUIPQzw2kRet402Ammih
Qsj5WZguwLENDinxdOnbsPHd8BQXhpyWfTH0NxYalPBA2qprnoYkmdmg+8gBGE2Ut+SMVjiPEmOC
Zl/HbvUYoMMfEa+j9UiYu/pYJoqUW56oAh8RNl6YFN/ndtC1f09ClLxJqFyYmgSc+xIN0Q53t7Pz
XfIlKju2dzzP8iuybpBu4V/ZYiJjJQjokpVt0s6nNhDEjxRsSY4xUumalNSa+WVCMtrXUckaOMwE
Cb1zzMt2Gti9NsGtyQ2/bNo4WGvJkLTNqv5ZWV19zM9I1qSt9TIlDoUNdCXDe+GGmLiobgo+4RKR
DUSc6sSEQqVbR0Dh2rFyVHyslSYkAEqF0Nc2SvUrhfgcmWnkPIhBjzXxswY07VKmHMu5ljJFEIaR
2lCB8wBEjLCncpq8cO1PXXc3OskAi39SdIj2HL7zmOOwDJqBkV4/RE64y2IT6jb9x1tl5f5xYsB0
DQbtuvascdsiD8HZXmWLppjdE0J2tSo691iT8LQubH0fyjgl6a0IjgMK6zceGMld6NnZe9VV/bZO
a6vekGSSok1pgmJBK1O/h5CtF2XpBnuIF8Mu63MeUNUYeayJ4yYhCa8FqFk73nkGhF4PBPJI2X7h
Rtj1WuIefFBvuCtS9KhLWB/l16qdvuraYOZGsFCOB9MkaIV1YoaEn+EUwSDfNWf/xG77Y2T2P3Y8
5/Dk77y2DmpHs8S5sRdlRhCF47bNociM5P6vv4wSji+FLeHKuj9REfs5L0CgG8PeGwFoMiIPEzgc
NaitX7/OOc78z2ju869z/nwtwSKXjpD//PHXsXzD1sgVuv3cFd1bcn7CSz3TEYSTygCUGWn8LeuZ
lbBDy231b17d/jFq+veX9xzHE77y6G5//jXjIYRh1jh6L5q42qDb0He2yoksOBcHPVP7G1UjMUox
F76kU8mYg2qiN/37mepCfJYZVsgC/TzokdT983g9emW5lwCvqoNphprAq1kzFTaGOLtqm4ajqvRm
SKYJsR8L1z/9+nr+4y9EJ2x6tOympSBr/hQfP6NG9bKSkIg5bls0EYSnVGyz4oFQYAkL8nyMK2f/
V1/UMaUpYOxRmUrP/Ok72eA9FD0TGl40nE+O51BLa2aH4SH2pvrt1y92bul//MbwYpbp8wvyNwlx
Hgl8dwOE5EAVZwLlfphjY+029vuYGpvcHPW/+a3+8U5DcE4ZolzEe8Jxz3/+3QvhtSJhvY6LfYwM
TV+RSxvw4Cwst9v9+jey/vFDA4wq6CIpE22Exz99aGEai8Sd3WyvBcPmiNydFTTf6AyU851uldqO
DbWG8aLPI29or9Khc8Q15jxwxZR83Wf1R3ASu6OmC2ZY8+f6sPmsFX/9Vv/hmliWzVfLZ7DDZXGd
n9+pIUICDFVMcmtkevtKdfp6LEeapb/8Og63vQvmlTmI4/907WUdtXUYdsQ5BDQDq4atc7wKAxDc
n6/zfxvY+y/BFz/we/8/Ggo6vs1986+HgiTqvjXfDwV//4E/oBjqN8fkxjDR3XN0qzO394+hoPMb
BzlEXzAXruOyxvsfKAZDQdc20Xyfh3XSlv6fWAyGgvyEVBRSbHs87u2/MhRU8mcchW0q5eBVEe75
gWK6P50QdQ/1B+u6s60CS9wnoZhX3RQVhxGd5qqnPd72df4SpTmoO1upl5hR2wmlcUezwb/EtsBF
fBGVIn1KoijGej3LC8svvGA/zjrCY2DDAl3EjZRP9jywyB7AF56CFEvGItXoiFN/ktsQJf6TjxH/
Yy49/RTNKGoXwuEokZ4xXrPUyxZ+C3dN1GTXI++3D2PT27ddO9RHAZ32wOiNJ8c5fyzsJ2bslm2c
N5IkdB0r3SbHJPOdlppXFPeMxGZzz0FiHM2EF1q6IiHYKpIM/yKY2w9Uz/U2dw33KH1Qm9A+0bgk
hgLfV8NaewxGZT4E7jSgASSp+5g4JVJ/zIs4O6j87Xf/fPthn85LEvvGcAP0I72c7aQRi6Tt4pOZ
J55ARQZ2EEEMlRDaqubGqMrURytLWI/PKbeh2SsuiK2mBzHRvaUMLchGuwoZB34gtDNuA6Aa9Pxx
MFAUujn7DBJ4U1xvU30JxhNSR22qvNoEnkCIEEY4wFrSwPaS3R6KNHT+zEzow3CpOajDvPJEieTu
E8tCgZIL09nkaE92duei3RydjwjiJWOUCI000APR7BIDoPCi9E0A7qM2+XSjzrdJBlBoSVq2aSh/
Cm89abPatJ7F7q00vU3vOM37pDOmSUlLf9/R8n2tUmt4sXQvD0xGwiNjifIG95r9MOC+uiAcMHFZ
2piesQERBC1xxDyA40EgSFh6iXQPrN2nHWo2n5VgQRSom9KBu6XID4yDvZMokuHgas2I0q0YNSbG
sLYkLmhkr9l9XriMNUwRDbsSPPpNPBvYOhW1no1xAymTibn5qsIxHS/AlOoLwl2dk1vjwjAtwyZQ
KMDS1rWznS+KgUuqGolGzTJ81plhR7eV+v14IsjxLjfn4NWHvngwUnGO0UOqROud7UK7sblMpeVf
svosAZQSTYA2pmd2tiyYd4N/8OnGERBiYGHgMDDmVu0MlYp5E8tN2drreOqbW6PEw6CmhODvGIhV
Vb9WOPHhzJT5Cjmd8ViLZkT2VR7MsTM2xEOUK3cSV5q8uZFNxib3UXEGjXgKImK7oQVuytJrwNJ4
0UmYakBfVH/FJl5f5rK5q5vqw49bgkacdJ35nV5UzOz1LIarnIGL5xJmZZHbiD5OItOWXX4VgCWl
AfSQ2GwG206LVY0REq/yCFmsbGcguJOnGY6zA25kvRxMh8pa5BHOzVnnJ3Rwcs1t2D8w4youDDOi
9cHyu82E7robLSmzFiEUPJI+TQOKZ2iM6rXDMYUgSGkDOakOo69ob01zxWmCS7g0Z+0f1DxG0dbp
uDiorTNjZM8x8Cb5IRdkoRMCeB6dgbyWwdXQVAflpe/MXLtNZyXGRoG94WuhR2LxXLE1e2EyJa+t
vUWU9bIfMDTnIWSJRTgHwYPHpV12eE0XQ+UyV8Cc1qww36FdMjN0h0Wiuw35NvMFahrzTiUNCYwW
TGfmkU1/zG0bw6IXpNeBrYINsM/4g2wlVofYDRExztqcNmdy5RoizzBi6SeSunD67oVkG3NXA53G
ejqn8W4CTbbpYF1j+G09CLsSJpmTknmBjbJ5FjbjxaCZsLkEQ7jJWX2sM8Bjd2ZmNc9G1qVsYOh4
VjYBLYh56LW4/u11kpgdGEJ2619CNLws4v3dHLpH9tvTScMNf27ssEXBMe66OTXu6EVTSDwqvZ3i
Gp5Ga85XNuj4rSoK57ouThXpgYxFJiBH4I6AL/UPbKrOWaoD8KFk9Oo98m3j0mzhpx8dvk1XQ9Vk
J7r0pF+mnW8dxJC9BL6vXzwjTR/ruCsvuMzpTZ7O4lXjW0px2Jkj1ha8QVdhhPEm6sHYLexwJrGm
A54w4DlftjjhsIPOxbwagi5ek0B2zKZZLCMytuqF0c/HxiCKhp03H90MDHaTzfl8F5BK1iwxnadP
CujHeqpI6MwjwRILHCjq1WyulkRMJO91GnV7rKh8SLnhxneZCPmWnV/bI3TwWsNm3QAHmnZgD+VX
a4imrQxCjj6E2dPSKbKCtFJr1MSXIX44EQxzjlMKwawPPO6rpt5AZZMbBO/DLdx8N1xoIyy3SqkU
gOsUbgMRVUvQidmTUXTzA3AB+zQTsZMuLKzxB9Jg625JKIy1D03nHZM7qHJrSL+4karT9Yzb6GHE
5gBjk9KjWPl1453GSiUXtmohZLecrZhA35wWnyfm9+Qygd995aCBwXAxByFKpcFPXwfO02RJ6pRj
rKewKG/Ym1u0NHU835c2xRvTrrw7mG0jgbGk/cOYELLWARfYxkFLzG2IUNjz2/Cb1+lwU0h0aIvJ
Rt04tQKDkxj8kcW7Yz8i0xrukSMMbwHwZA5du0884tRMFhNe4lYP3pRk3zKHeVLnMJLKo5iVQa6t
lyixbblrEsSCmoEUG3p/M4bAexRpZYcZWd6zH4Rfzm5Tbi1FLq2Pd93Gftgb4a6orTtz5nMGxzsc
pjq4ZM5fL8hdTpaqG2YES9Vk36UNN8mu82P3OBaJvOuRcy2MtrO3SeFreF4JRQdawfYLxL5Lppp8
UJPd7O3KcLeEVLNGYcuQkD6YZKvCtYcbwLkt9Z7JoxVS5KbimfLAKiXbWNh0l6qwmuvME+NDWs3G
SqakZ6ZZIRkFZrgPSte4xyq7HgUwzsa01c3Quvllg5OTeVCcPFnTZO/7Ju/WTU/eVdGATR0wl7D8
6Yvd6BX+s3Ty6SqwZPnet/a4Qew1kA4r5XTHOL4m4ISEl8pudyI0I1LQOqg6fVS/+kU7H0ckXB8e
QuFlFbhXFdzNYw6f41Cwt/wyFQwNUfor6PrEUWDqmXojPmY57TeVZDp+BIE5nGakwfFqBIl4iYON
gwQ51pe8b2wMra06hoGht0M+xNdyoo6ySAzaeNrCf5R41QW7qnP4C/xwKxAsCdrxPZcz5LKqvuyU
o3GIVu1qsgzKAZJ1sFCh5MOQRTxDN5woOuNV4hfiKutt3M4Vx3ppGgLzSYqRPj5NOvrCiP29svwr
fKPtBmQ3e3vChb3bsqowd9aVaW2i2iBokuEcTj0QJDl4Wex701jES3PoiGZ1/Xo+elIPGzBexq0y
J8d8GYjF9g6k/ECWkuTobpgriA+KrJIkUrypjzyk6u04oCP33CGsD3NeU/s1KvXfcThZFoIjnkat
6DEYZq63EnM3X5itQWBY4t5STE6HxEeP5pgtXr0m9qnmzp5PxdSVJXxotcFiwPdyn6VWuMtbRDPF
eQ446AR2eyUvORH02q3D/CRDu28WOUCsZwzGzsnOCf1bUmfOl41WCAMrs/ZeMirru7KxmxP3K3MH
y9DTpqmn/iY1aqDGk4eJRxgWoqpKFrO9Dqhw2XZjE8UAU2R3M4g07N0Ao14wouQnp00xIOH7di+d
kgolTWs0aBSruU0cuiyv8aDB8mzzNpCLlsAeMFB1ExJNMpPYgAO8ip7MNGITUVUaK4UpjEPoUWIA
NduXaZZfst+U2Uq3+YXdS++GXF7hUIA5GDYS3ITvaoqtL2HVKSApqfeCGaXbs+tFZ41VApt8HkYp
QPeCAQgEC+X4DH1Hdm4lknoYUIO6b8EB60XDVnY9MtVbEASrNqJ2tz68lhVOFNS1BkLB5ZQEzZZT
6w0VFCmndldCjBDRNlNoP8aY4F07vGaL+1EzOtkFRUnmeRJAxkHIalbRmVJ0iarEX/SyylcZS9I7
c2gMVNMNTAk3C1apGThLggi3xrnFQD6640LMy6HckCzRL3gnEECKD5Od0ioOjZ0tR+CGKQU3LTKh
GUAQV34ZPfnNgJc3Cu91hFXHysIHg7JjQTuIfyzRV3TnBcQSdcEgqF7luP+dGOMozcgX9iGn1E1I
t3PVkiQRng1m+KpL+xhiF1swHrZXuvPkah4Iik/LSO+9NMcxMEChZr0yA+zNHZBGuOVTBIOrmJzy
pfSRJAxZs8kze2Vm4xubOHzM0U6j51ihAbiakZ5eD05OHGNkzkD5ZrGtnID8tcG3cNITa0Neh+0c
kgJabVCxagBiC+Co7rt1bXbdOdTxLJergArOMN8oSkn/2o5AyFkUuhaBsFk6OYhGOwWEL9PNSWI5
I2Uq4/qqBgAVOYNsbhzR74ThBY+dZXfPJF6hw46ijIYl0VhWRwIXqtVs9/0NkOs8Wsuw8h8zkY9v
2BaCI3EGg0vMQbWgoHGfWcxC69KG64Ntm2lwgE1Y8a2swhFjl+PMu2o0xwUPDvMpLNrsTpthhSSo
ERLlRZq1B8/zNDWoIiESdkj1RBzDncPqc2tqda916h45YFhYxZXajVn9BtbPQWRxlgKMCSGCrQ+P
wey/2VMX2VSnpiIdw0F7MwdEt0Vmlb1MSsmzJLBOFmUT9K/cWfGS1RWCgDyPtrkc5XaceFS7bOv2
duSHOM7tcacVU4KFiix/HdtNdbRCznxOIXN4DAkQfCkzP97GBL8V69xrvQdF4UJYm8yzEV4TFIH/
nb79J6FaluMqJmP/evy2e2umt4LB+LfPv27//t//9cfP/D6B8ximMeY3PbRvQn4/gfPEbyBYpYni
QDFrE+dZ/B+yPDK1FKM3yUTVY3DufAemZTgnHca6hAEwfTv/yd8Txf7YSBFG9nvC2B///TcSvq/L
uNDtf/8XOYE/jOgR4qHxw6rt8iqm8llG/Dg5Ty0bkU2KyTDpDXXFumKA3DCf0xZngk1Dvl8v7jk9
oQBOkC78c6YCUAAHyFvd7xiB+SjRGlgOgr8DYkziP5bUHs/2UHiX82yKB3Iz2osBB8t+yp3kC5B4
B8NfOO4L/r2TuYsaVqE9mJa1pcV7Os4QHtq605cSK/89+jPulBi1DAamitZQyezezqxhpXzTPpzL
/+u2dlLKSOAPOpI5Rk6QRmSwJo+ohNpDw8rzkWdEcsH+cxMzDIIlQhRnQXDsGiUBmT+JNlfEPoYY
yZS9dBJaijJTwZIMgprwXVmG+Ooc0pda+DdiTLOVQyTX2lEjUaG68RY99pvLjo3LCtnuSkUuiY/E
BZ2o76sLByrHYcxMsXEZ9lwKuxebntjou16b+qLUPLITTxbQo0TLrrO1wO3V/W1WcP7DdUGEnbHi
TDv3MugaEqHrkZXpSMCW1QhyLQ2iItmlIg236/Qqy5xm554rB91U0yLr9Pzm5yTJUhFj+GbfRITt
OSdx9rJ10GjmG8K0H4K0+mCjVrmrQmMaZqeeDi+mHsNH3YfD8xQF7b0fdME3axaztxAKGgMYX4s1
9WRiON2jK8nbTexE5jlmXQAGp9BihDV742sy1QMIqkDE14Xqg1Os8vHoI65ZNxWuF2q3WcWrsvP9
FbKbiehxwzHU0sB+Xy6I7QFz1nf5hzWNOBZ6C5ODWUJbaQirPzm5MJjEuPVdNvG5iDo3l22M221E
bzxHiBxw3joXKS406ESFfhoTiRxN+d2T1yfxIyVvuGpr49aWSXVM+sH+AI7hErGVkAWRdDXO+ySc
xhvbTt6jSL2iAA8uqmbGeAa252hnjrvqBsgJC52UlnXWufC89LzKvej7LrmNSmWBfGinA7YY7yqv
gAwbKZoN4jSQvYf9qYeG/Na0HSp2Wwy7MFbQnqYqJe84W9vhGOxKhDbhwkHceDP4qrwa9DCRUynH
A8og9yVyGgmnde6NZy9248ewytJ9kQ7Da8526G0IkABEdFirslXqODh1u4r9YZVK9yYerfrW6UcC
vLqsf0P7Uj+6I+iGpuycl6qvQra9PTEp5Ct5FppOxDIiZ3K74n+tLsPW9SX9vQiPTgSRCbdWdUX0
DU0IIRtPAWxt3AW52e3sGpXd0iRXd5MEGVxQc0oYQ+CWAO5khWgqc3SSDmQvjUqO92ui3UTjaA2P
knCOA/30tKLbKi8Cj0Q7qRP7KsaXfFEVnbXWEYqptvcaJFF0yvFSVpW8SIm16Ml3o4lA+2Z9U3KC
aCPd+sJGBt8ACiZ4G4gThs8eIgmCyLZlMImrZHiIm6iot5ZUZraknE+9Fdx4f5VDMAMB6ySIG5xz
fdWBmr2wIfaty4y0yg7xYYFWTJvuqkKMp5YFGSRr7XjEmM4Qzi41EzTciRzFL56wiWEJRjlR3btn
+c40hwYpKBnDPQxvEuRSg1b/hEscLJKIoEnSMOK2N/rivWVcM1J9h/araAiTWhRVG72MpXLEggMR
u4lHYDHz+MzuvJepEJpAMcNRDxayh0skF8NzTfZEcYiZA8kFyrdpbwymW2x1rhwY+RSoX8JytEtW
LZX33LGbUGs/U821ee4JnHI6H9pDMHEwMl5DPQpoYYPBaOq2yjbP5bPtGy8yGkk8SEt8weQCtkjS
UK/n5g6jc9UsHWAul0OW1NF6HLUzEuZh4VVrjSFpthOzODY2tlvekXFNRTWQ1A52MGjaL2Yz+0Tb
dFJGGIZdW99VkWkcvWbON11e6QYSdsRYOqnxbpgh5ASc8Wn3EoM7cQmuJ80ZJdsgQM+0JNmnnSHx
XbVuACYiI6YpZN/c09Om1oGpi9xblmYC3mKT+2hIMHjCtN6SpdtO2ZJ9FMOTdKyz2zj1gqcOttpF
5ouPmqjbNzf2bwXIkXIxY0WkU8hKuenM3D90bje+TqpnuyO6Xr4KaEvntNd02psyhKEVexm7Kav3
boOUoO/rMA0MZkciJ9El9Zph4yc+v0DjRXqbZr4WC0mTP9Dm5MkDW43xCJAufDSRuddM9kS7olol
wXKQzfDNUjxVHH8Y9RIpB6hZGKsXRtq3QF6Fhf5aE3KzNwykisy2pXqumArdw6JIj0Pu2dA/AGyO
yzISSLQZJ/fbAMnzQ0frcZHmLlqL1DCTeF2gvHwGcMN79j4DaUQrCqTAJPkuWgZ/hzLL6icm17nY
x9hUq2XgYddbklhMtk2DyueUFnxwhpPhMTbMljfo9mH2Xhs9iFSAd/Ml+FruGH2OyiG9tjtyhlpv
pqWnJ3Z1gBw/k3UCb044ewtHLAf+agb05JK8+OdAnranHVpEqT8AuiarpybnDE4ea7a8gNxlnTN9
grjwH8OZnB/znPgjHLR2YDFwvEbayS+cjMgdIvi4shy6+gpSEl0bIwj92PeCRKE5dspXIy2rPQYp
Brq1Uzl3JEYg2+ZUNL4UaJTgl0izgVZGGCYxceT5iQ0Ljewt/gwyMvrPUKPPgKMkLslpRK5mPuu8
YfRAOso3LzqHIVkwts6BJoN3mwBWDzfewMCi6RPAATot02v/M1BJf4YridAdjgF+JyLykuhm+Exg
wmOKkBYBG4bf7AufFd3OPKrqcWg1T4GekDMhrPk2bSJCeFJYp2Q71ecQ0LRiQmp4KaMKuzbMxyo5
I3EQJnunPpph0I6kvIc7/Rkd5bFzmtZpJ0MClyJXX51RkXw9PbuNl3YaBc+BHOGz+SO5H3HGVUV0
Xz127Shv9BD7qNNjPvekwcqBgGu+mD+DrUwl2tvOAhw1KDK2F/qcfyWxG3DHn1Ox4jPVEj4xeTSC
JxzbM3fykP4Ri2iRIgaFl6S0dTKbUFA+w7XapEmu5GfkFmRB+w0ESvlo1Oc4LostwaVsRq6In6U1
MpCRK1SJKt5ZY6je0jhzvpLTwEEfYvN+BPY3DHzvJwATwgu/0h0C2Mg6/xEKFmrzuTY4/LR9mc5O
cpF9ZogZLnFiyZC4O560BNPn8hw1lifsqLYlYtRTAEr4OApNJBlLFuLJ4jhqXweExqiZUSt+ZJWf
fwvwCx7cwAi/sAOYpmXYzv6JOfRlpBxzP32mof1v0/gfNY0m0ht6q1/1jau3/K3421vx/jdMcj90
j//zw380kPZvn70eaGpXYjn809fl0SV6DiUI+gkWjuZZevN3X5f5G3/i4SCVyrZs5fNe/u7rMn8j
v41oE5fxnuXajvgrHaR/bhD/1HjxnhBwIDy0+EcgNDJ5oe+lV1UDblwUlljDXflgeHXpNe62kv59
ElQpOwRrnaGHYM8Q3EO3vKlmyc453Hb+a0S+1gK49xFD2COHwJabeWMZxjohvrc5aJ4BI00KNO6L
aDAfa9vZEg2+QRm8TeCVmBXPngA2C7MRUOwdptaBn2VNlyXNTtTZPpXODUbXSyxa26GGNxtYl4Ay
bBl+GcNoM1X+WmX1nTKqu3kM1gERXyLC3pOb8P6+zNndxBI0yeetywbWE8OFV6l9x0QYI/plIcbH
ikdJpYtrxIrrapq2YC84jDQ07uAekTWdYCDuWxnumiG5ygMBxizyCaZ3m93M+pzGAh5W6O0Y3STM
hPpX3fj3pmqeE8ElYxy7dQK5R7HKTk1/NbQD5y8/CdqC7755/2QMgJXvn3yINPfY6tB2krPw44c4
5Y3dUj2JNUThVQiZNffyUzjUV+40XXkNupIIFjH5pGsDvkjPJ/PrN3B2Lf74LfJRJeJBJJ7AQ9hx
FiN9/y2Ka9oa30YjTX0zV1V8Ul0DLQ4HTz+57jqNbPyrqdwimYMCNz/2RYz+wXKNfY4Ve+EtvoEz
aICbNnKJqSPeQO/JoZfNpzFrdl2dprCIQ2bFmmne3JpLLIH5aotRx1/QGpAPO2TrwfGRrmfEYZUB
nabvHOsR1zBxFigyWxsEfwDmZ5xvOjJKwKpaS+69J6e2j4GH0SLpjkUd1YcSB8Lxrx+k/5mw7V/+
Xz/k1/+/EVhv4XQnx/2XmfWrt3ein87H5OVb+Nb8bffWf8vin87LP/6WP85L5zdcIn8eimfh4++S
N+98krLs5TVdoZStuA3+PC+p5+Ep/C6Fs79TvJm/mQhDTAwNoASZU/01G+w/+Z4jUUURyzs5jwV/
/J4zaeKBi/VtPUDuTJJxK0W0sQhLSkex/fU9Zf18T/GwOEv4FDNEC1mm/Om1QignZeW2AUAF7FJe
D0IZmm3qsfCACuwTAsHiVQ/o3shKmcGMMjSKnOcstNF3jACKwdEX9r8T0HIlf7jTP9+VYwuFKpH5
pvxJlhoAe/BlXgfrCrSUTus9YEBiuvHzWGGznmHnewZOrEZuzmIZn/zfKSD1IAirratp4aqbX18m
+/Oaf/8E4x0Rv4oEl4AwwVPxp3cEZKICDRsG63buIkCVYh+eOTLCt4Ir1Djs61wju6qyvgMRJedD
XLJy1bPb4Uzs4fZHxauB0+km0FZ2dMh9OwoR7yuvwK0AHsEphldv/JrR5PfstmRZXLBvitMBCmK/
mAowL7ADfWkA3zeXLAAgvCD0K0F7RYA/bPfCJIbTJ0rz/1B3XruRI+m2fiIOyKAJ8vKkN0opS64k
3RAlqcSgd0H79Puj+sxGT2OmDzZwbjYwFz3oLpMpMuI3a32LgcImyZxLkCLEUATZGPeDKO/xY25E
5DD76sFqT1uDsMGhC1bkBZ0iL9x3dXnTeuIAf5IF/MvCfjEUBqL+3SjOnuQSdgb7tAwLhXNIg+e+
63/2XVrRQbSE4Izy6OhnzJpHf8Jj3Jd7mysub9kz6OjHTNqnTG4z312SWwhamFhHEH+pgFLC4w/C
7GZyh4cc1C7a/t2I/5tYmXzdAVNfNAE7Y8hXFFMbZKhEZQxYb5tLr7wdVesomfI6/JnZsK3KnmTq
krvzJ+rUU4LvRxb4RTKXxrbDHUd+CYBEFsjMBYc1Y1S+Hv6YwNlU9XBfNu4Pfp6oKO1Dp2lDZpiG
EneLSJqNVb8reSeKGlCWBsDmrwfycRB0ozHhzex9Qr3I8Ygf0qE8GM3tVGH8C9SvPqH8cN7rsXxr
cWk3SM5Zf5GncNeG5jqYrnFTHHwS3HNf7uKcTKMQ0LAZuBVT4/AtkrlxmWp+crJL75AdDvdiHsnF
BsCDfzwMrszHyo/IJq8SSRtfWt5jRVgxa/ndToX6gVOn/BWwrl3SuZeXhkVwDKXwKAfnQUJafMKU
1hMaGZE22wPN7uwg2g/D4kRjuB4903cWuMaJHrPCYq5XIrWY3IZulz/46dTtaG4kOvXZIN5pGCfy
5CuS1lzyxw4FUlDUenUfXVTPfW139p3btN6PZmZcoUVe7/7nV+BjmfO/vyYa/ouw+z/ef//yX/0v
kn+zF7I5uf9mARXnvz7Ur+zf5iP+8Yv/78UY/MMk3NaWiJIc3/xzI+Gyo2I1xfDHdqw/0BH/3ERx
m7quhVLck+gQ2Un9dyPBkooY6EULThshv//VX1ZPf7eK4o7+y82AGN0KLDocVOe2JZb26c81oJBI
z9C2EU2GFXsTy3aqATRhyK0QFH/Q3ZLnbKrgeahdf+8t5wZZq3ojhyQ8grYWn4wEiwMDLMy6KLe7
PMj3DtCcNyIB4PNytSDV4sb5qNEDI8KpW8KMp+gWcPN4T6issSu74ttpq5tPgmqn/ahaeY96KR62
7HKdjxD6srMiZ1jt8G/vpqC7wN/PzsTzWSwBPH2s5wjENpk3k1WQ21EFBJohJKqCqHsBJh98pobX
2VTTU7hvjLDb2YWFozRLsvEzip3wjaiy7jS3idi43qipMkt1QDoPBEGYxb4d624TiQyMaezfIb8e
thOhA4dSmdamnjrGuLXDaBUl8HXwiIULEsyhqxwPOwxUopZXcxhXTz0JGL/jOvYu2jTsU+13j9TE
AQr51r/asnaslXDhZAivDJkLxeD76IiaRm5D1TKkmvKk3/vTNK4RL6QvLRKuE8swfSpS8dGEOQlk
aRzfxArAeyz99iGDhQhUq4W8ylbbXUWpjDlzCRUUYYQcLW6dmwjy1Xs1MpBZja1rfPWTpy8549GX
kinXhR84n9MFzhDWwDRd07kdWC0C+fLRJyMaY51l+l+jg1SGmTBU5gxV0qlOF1ciMxhkVITTzBmJ
jbGNKosH3uGLMooHJxcJ4kj0EMQ5mi9AqxnOeVmNLbQvNxUKnWWF1x4wiNYbegQ+eiTIq4m0u+p7
t6/Ih7STs2uEzz7j+o0LkA00WKZXfctETM/Kfh3Z5xw64ZP058h8iQWEQtv43HcekK1VI4YcWlkL
u1CKjWA+u81d9RuhYsgUuKjcW8vqkyOkCpDHoXlTaTO/Gco5+ETcHD2NvYXoDYXH8zSK7OSr0Hsc
CG5jkDgGNdszo1sPlSl+sCk1C2QaBhEJpQNA2Wm66rMFFBUsQWdWF1W7rkrE7WwTDpMM3oiQP+vQ
fAue2tgMsqdMBqLekJ8574yc7yxILHND/dO9za4qz4bvV/fM3+UZbpu/mwazWdkjalJnyaxBZ1FN
Uj6nFdgxhsT9qqH/50JJNoObqj3Y4OLJIunzVvHp9NpFx7o1Q3CPq1ol0S0cxuhqz5bDptdeRHXI
PiLupsbctzYNtRua07qDrLiWmII/fMSIATINoz4YbuPswDD6QKjT69yVH601nkiwSNaGOWyEqY1d
Uw6XvCdawUdHBf7Je0TctomsQhwrBI+AEZRnbP50Vv+b1pv24V/rYU49YcLlAYhDPKzjLwv6P1nX
iFCTIK84DlhMCLXq3RLZR0XsnuJxLCr6V9ilQw49pi1eMqCzalvWTXPrgAwFkBmSkqjnHkN9rrpN
oYrsHPRL7Bgu7fQGu3rxUtaIg1o5xDaiGOXkW60bMlyYNqf3wff7nH6/27bCUHsseC+8I14X+zS4
E8CaobedYgsXOH37+48uF/PRv/QC2EkDZ7HTuYyvuHz+cuJPhnZIyojMveVGyPhy/PGp/WD44xvd
WLKyyrRbuzKqb2TTEVEJPAiuBxAsnoamAuVtRG5jbd1ZwW+b5hBTvnCHTZNk/W+mztGjysfpKAk3
d5gi1/ZMoLPomje/1bsSPN8eBNBJZMJfp2n8UVPHrXm28utIysUR8UW9wZ8PyMNq1UmAKoMLlvbg
eBsCW4u+sb21mZqaUIJUrMOBFLLeI8jCDcb82skheMOzXbxNvdnvBg84tQDgcutGmGOyiJgNNVj5
vtSDfIEfEB693A6vUx739/xfuWvmLn5JLJt8t36YNyjG/e2ce+5+6Kp5X3qDfSP8YTpGCjsBid86
pP4V0cOEv7hfDTO2FP7aA2KGVO1Sepk9Zm4P/j3wycwGUMMdhGy8acPmWQtCZSPgdM+sC4JNzbrk
i2ljtIl1mp4hFrarsXKTMwsgksGZhLjPhnbFXTD7xoPdDgKIaBBxt/hm+Zs0v/HZwwLy7MqyuJLK
2lx9uNcnk4z4g2056iaszeaACuKYwxPXvfI3smw0LMl21HCHLZbtwzD8GIc8vYWojddLZVYM+hWF
RzZ1ZLBMdfPQCTz8LDAZmpPF++6gaHssQ6cM1mH2pHRCHCNNGlhs3c75W25Ww2XG0XUzN5qkKNWO
5wJ6wU0Osx/fRBbfSHdi69VI3941VjIRYZP7am02fUVI+RDesZOsfngIZBCmWtF0cHOkgi7i9m3T
gLIJsDJcu0GVFw/r2UbBi1tEo9Vp9CTQ/eUUyeqQckUeAX/gviruCDt4wLCyqocsBwU0XcbWM/ZQ
lkEKcE2sJ46qdjmzIo/TK1zOMTuyFJg4w/jylxOuX866rMHLPjRi5aCehE6Qufv5+2Dsvg9JTgqH
TBNOzmY5Q/1Gcc5ksZg5CJSpwRBy3mLBKJ7G5QxuhDOeiqHkzK0EdOki7IllGiZOdAKq73tZl+fZ
tLo3l0X5pgR4wqKvEXi1loshWe4I+L0AkjILF0+63CFEp8fGQbJsjuEILleQGVTIbQJj0ugQrFo+
Tmbp3rVV5oQbGOjBJ/t3IlH90krdfctI9GT0Fe6k5Z7syCigD15u0KKK/HdGKUwGXJ5pm3sqrs7A
EnvOUFKMDmUIYyIk4iDeNN9XOnQtfrCELygk6DSNFrpi+OktPyL5XTVMSwFhUEnMS0nhfxcXOFWI
Yumku1FL3WFSPoYBLbSXL1r+MPP9Lckl4znPLALRAmM8hi7uMKCcOU6HSm16ZMfHpOuEXnW+Ig25
D5x1MZbduGyN0osr2uRo6xK2WJSLn6okWxfWl39fTMwxV02r2h2yneB3PVfiOqIP+Oizrr/G7RQ/
GcjUH0IW0+0mMjt5xFlkEKVCyAvyUydmcRUMeJtIO7r1DLs7MLFPL9R0yOYHJvsLwUW41xxS0KkK
q/xWdz0omGqQzTuq1hcTLcWGxMxlSQ7inVwf39r7bOQeZcQHR+Iujo1RgfBVmKxgf7ETJ2cA8oOd
OsbVnUv7KL0RDGVSelfgFe46llxd7LDKxwowYozunIxX24iJH8vJuoMR1PtkOlpVt86CMWkvXgWx
zeuHgAiw2Hwfg7n7sMui4jvGP4RxgRdtNwwwQ1Yem3Pg/Oimf06oYfbginiLsf3HJ5Tm7K4b3zgF
dT8ciFIaT4lkmb8AJfBr116EW84wX63Rv87gAx7tDCrQWBowYwFRnmCYAsIfHN/7oSaRviU2oTWg
rlx7ZTe5fo/YS79VnW63pnSybVCm4Z7/5N2EA7JdlNxbnRfeWVQBD78hdcZVbsY/jHpBB9tZ2cKZ
ogpcwjqd6xLtHMJ8WrseNoyyYiydzL9NYaCj0CWp5JyJtrHBjYjENtb1djGsv5Rt6pz6qe0uEBjx
nVkoUwZgPPxiOR+lUCkfYAG6+xTsW6ReJGcH3ikwnS/cLu/TSPoLF1hGgxSWxZFljs/bjih9VSR1
dK9ye9pz8lBYh6n5nJAjRKRe/mw5lXhxaqs79F1W/RxcN/kZtmbzG48tnjngKYdez2/43Z5tj4xH
Zp+ud3Sd8iK84S5hZEvRP3brjiCnLZD4mYlfhgdza/bkWTHGIS8dIbtTHX1Pc++GqXtCH2AfZl0l
Wwuy9mts8JyasyPO42B0uO+98ANThrOPPD8ZSMJayvq5GCmUR4Tfo3I+u06F+8CpjZ2HU+UmbvL4
jNMlms5dYZT3cE7Fo6J/GddxOerffYqocG2nrX9T1AWnTR/ZyQMAa0RO84KNTggG2EkS2ZBPIQsL
kgo4mBG6XryRQePxu5JSl8U9mb2yak4C7wbvT8tn77PwCFcpOcOl00vuCeM4kgOgrdGO3KVeqw4F
Fr4tMW4tXul5pHGykSIbaEXGIBD72OXPZ2EiX3IqwRj5/RRcSCCf8KuSuGBbnXxTdWztCcpLViGh
qd0qzybe2mYyPdpQAGqrqmxhLrevKP0uszS/ll3otrdC65fuDXmH+pPrsXpkhkwKkwA0ei+iZsqB
RcfzZ4I+bWUr/znXBUV1x90+i8LaDH0z7H2zJrdT2ePeXHJbSb0wn4ELE1oId1RheSNdIEZXQOYO
E95Khjl+OuSvBnRZXz8ynpgfPWAx1To1wanCJ7nB24AGEedzds2KUlzwsmBHWkIlkKMJAgZi7W0c
IkuKfSAD4wEHun21rWL4ctL3sAVhP1QjgPVoVh6pR5NzaOKUssgoLjlKAcesCeVtMzKPiyzZE4xZ
c4oIeoyxNTa5+zkhtU52AcguJOUTCPAhkNamQt+oByQpFIRnLSDTmd2Ln76V8/2kSNp2UAfUhUi+
Eje6TdO8QB5fmT+kG9avPF9cXojU7gYM6OdMFdULyVdoi+KMKQSAcoM0B97o19lthycvD+zX0EyZ
iCJKW2uzdY4tkpsTN4G68bLQWOPJInslzEhgNJiKJkl01E2CVEHGRIqNnfqBKtS7JytyenORmADt
jvJjMzuwKxPPWUasbkaKHaRj7lM5viAhwH9VACle6DnqEDluTk7qVG8dpCKIUYPxQXQhs3oD/xtA
X2cHZCU5OHB8ABlQyU5ZOG372BoP1JAmzoLS9xCr2GZ4dbOiOjp1N+6irHO2KYlvT01M5dfjdMEv
3NV4NprgEGWZglgZTyCFQnhm/B0Q37O/2PY4XV5qVoaoMccoWhMuTvA7h+gKUOO865cLF+gywj4r
fcqMqTqlTtvt8cpQkKXkWBDeSM+PjvsRi3S7nbuqxBWB2XuF0KtaNPpSrHVmDMBC25Q3MC1MDmy4
nz0raN4s/irlWgc5v6LXuV5PYWE/T0XcImddUtGiwj6olBMitPN202qwV4D38kMhUMxouM8ry09J
C06wWG2GoWaUnRLm2aVITa0wvBRooIpAvbsMZpLUPEaQaSwVnpsc4ZpIcXR2pUIRRNiGAri6zdx5
OjHhKzaUD/f05WsRME5PRT5CNDfC/KLwEa3zoZcb5gTzNh5d4qNFTFwtbqvsrHxX8hWE1nFoSgty
aJ9QMLTFlwrx9HoDgBHfnow1mGWrWtkhituCFJhPkZXpaxE7TQbZRoT35MoE0AS87Eqvos8OKR1H
zDZMltCI2s8JHP41uVjVKwtdwoiqrDxjNk/o/6rkUCHjOph2nO2dvmFMDw780MawpoHKk4sgIVE7
wYzAMrH2vGH2k6Zdu2qDaXmBKnQb58w+FFJqy8TWqZP0XAr3NLaHyef77IrgFcX5GhGify+KPkBs
I5NnaF3OsU6z7EbGLcgtXkHi54lusb2hW/19Lyz+XSsMB56FsTQDYQZ/WUINSSHC0LH9vTFN7RZz
nvfRRD3M09ot/AAaOf2vTdITKK0CB1+DVA2LlKoM0hHS6d0jS7bBFO2q7QR3FfDlMq9kpgMCt4OP
QHSrmh2wCd8TThPwAFkSIwPCqfT8UwynABg+HaLxx2L//ze05X/TPJ6ltfW9tvzPI/n/03TFf57J
//dv8MdYPpD/cJDhBCbbZUZA7jIh+mNfHVj/YLTroNSxLCh1klXqP9fVwT+Ym1C4uwyPAkcKdr//
lPd4/0Bu4sNttoXEXiLF/0Te8wej6U/bUWjSAdhmyNG2ELzq39KRP82nOvj3va3GjqUoCu2JmIu7
IoN6xL0ZbHuCRu8ccP8HrBLDHmXxsGWW5Vz6EmSfS/RkPlmEK3mNMG4lNqpqgxmWs4gpItRmr/2q
/aXsDbUXvOMLQ9YGx6m88QM4q0oUiHTiMqWldeyvsjReLM9Mn4YxyV/8rjaeQK4QihS1yRMj6OQ8
t5V9pMtIX1xOmxs2rrfEZljHevSSExO1c5inn10Tb+swpBeKskNVY6GlFHVO+DHOhZoucE3S5Txv
SWSZzIz0ClfAAdm0vZMfVFwzsrTZbQ+U5uMPzFvRuq69u9aR+ndrlMa49a1sfOafcmrAicFBlCNs
Dv1Xt2oBlsi8fJC9LzYqNFEPepUO6HY08wDA3leXQwChLsOJPQcrs+Jozg6DqdVNmxvhDlnxgNk0
tL6ioL3RAq1JY8M6RWV8UqoMiR4sBXXTsMiRR0Sfq6gaI9DJOnuOWxuUrpOa7mFOZloejzkLl7E5
rXxk6Bs87fZ5cOb2McPmAUoRR1HAAEKZlxKRqolW2usPuVf4P1jidJtEhOoXKuoQz2dWbAXhouQp
NcmX5dCWOmyeMRF9gLYuXyNkPMCybTtJ1jnwCrmCQZPtbSNyHjvZlO8gOaddNKTlSYcGGY3j6GNe
tCriphnEGaYT7fneQ2yfFOUEo1SPWRIwvslc4x3R7LChYdVry/CL+xLlwrwy47T7qVMKEivsZyLZ
MsNeA5Mczxymn343My1vmaGvWi+QS98azvd9OfQ1aYocubMdEVuv1fQ2dTnwpaxv6Yk669SWobUn
MXg4iRR3CgB+o8Irwxe4JXIoY0yGx7xaOaAIsGdMO8cwiTTuEm8dUgaSChgk9k3FIwC3u9r1GXsW
B9sK+YZGwLQIS5V0YJNC4+A6rdt4Zfu5+aVis5y3oDYDvXEcw7kvVOhk+wCIwwtRwQK1vR9OH8Qm
62tF4P2mHfNiCX+uuKbsxul/qaQdj8DTcng/lRe/guNpsVGiFcb/appM2rzFDSG+Ve4ErxOh7CEH
LgSLZcTEj9oT0wt5Nwv7chYAPoRZxgfhy452aG5SLCATG/lt1cKgFLk1XFBJGWc7x/hZz0483xIC
3lkPgrYIMbnD0nvnBJUd/Ox1UR8nEGLIBAOTO3jGz1Dvp9EijXCVQTCLj3XbuvAtl+8lJZnLBo+e
ZFLhLgbIQzZTg0YrZEjxIloAMO3EygBbzLHTaonlgYbAb+OcUchQPqY+hn9rHGHz5FL11l0k/ahf
enGq4wFkLYtwKBUdTDYiNb8YNE4ARZnvDkTYHUsDnohR4YFrakvsQvLC1v0UzreBBG2CLYY0htnR
O2CXE/lkmDJQ/XqDs7GDTj70wXgcKoPnWhphcIJbAsI8CR/axI9u7az/KSob0IRX3DQOjQ7MtU8r
z5dJ83EYo2JvZGa+d9tArMEvxFt71sUlEnZx8nhs7nMCOY/e2BN7a2P3Qsjn73OcAqSWVKfOq29U
hKTcA+fEDhAnukVCH7FhFgVSXt9kiteSPYX6dPo224Opyn/G4EhuezsF/tsTuBkF5QRvFpqWC+/n
LvUrubWzrryXjVPeNsXYrh2iD7czsqdkNSozfIqy8SHVRG1NOo2OUAfmVS1lc6o8xTYpKJmGjrZB
C4Av0Ersh5pxH4hnYt5Qhoc7L4Tz4MAzWqHbQQkYBuvY0t2lhi/ObESZqDMnt3vMVHXtq2bfo/6m
3HEJJWvQ3d+FCgMB9a8mAjomgD1nCuKKfV8362jq7x3TIulJGqStVL+7Lr6mg6VZIVlQhLTWOHda
eac1bxkprR2jv5DWbUyLFxbYFSBV+9Hpef7R01D1h5+ZpfYWpeTVwPf4my6LJ71c+jmJPIXd8AqO
bUnhNn7JQp85WEzMMwY/+Yp614D/YpBqv2womc0TytXQIWQGtj0td/NUEr2scFAXbZ4RU1DiUpKS
Fefkzi/QdK1dwhkG1Nep95yzw8Wnql+SDYeHFPOMp8PkRN68ZKmV9Qxz2eT6zkiLZRPTBZu23VoS
UApRqzPptNCiN1OO2U6RzrAivqPvCGATNqpJp4i4NHBeEForpmcmduViDSP6MkirrUfu6DZQrgtm
tfmqahvBqt/F+6b3gqOyyGnXCEzWMGnzKxl+3irSLSQ19hHvJffzzoTsxYcf3IImwQTW2VP28yRw
EmqMH1uAL/KrIvvIBPBTD9cJTAqDqHk+Ckk7Lb203bmUb+dRcVSAKPAPPqTYtUeW9uXvC3bP/Yvw
2Tdd0/RYXZGjIByUs3/RzBIszkpSmeroi5bBRWgNubfRcTndtVRKT0OpHQ7EMk7ZGdfMs9AHFY9F
bUzbhnXGJ4EwQXIzlYNlbVPtzgdDeKGJ04ZHZY1ncJlTmYOsaONCxnWCJhFDlW+pI/Icf7gbnazB
bwKW+7n17PR+kiYjRBBdXu+eK6xxl5kMnKvyFecZGYUtWmzb1mstdPtu2MLwoN94PzE/UWcUuPdX
UhquuzKJsaK6kd5wCcK0PSIXmvZMpooz3rRxlynMXDOOwYM7ApOAjTzAKSMIl/FlxBkRYnFIjGrj
weleNXjI+Dv2pDZpSmDE3m6ykyOXnPZLf1U6sIa8AdjPwfcag3qIYK0+20vE5jHqOBOHsTm5+Y10
YpxnDQmqZtcbvyFJTKe2Fc4xgyk0rxvHNO7T1Ku2qKfcu3xq7Wtrq+ihHqbtbIPMjuPKXVnF3CWE
4FnlHdIQF7QNjmdXe+7PwqjsTW/7DFHgOe8Y6gPSMye9rUyld3bkPyiXPJLWfSuS6Uyx8avU1r5T
aDhFy0KgSt77vrkPDMu/YW+Cp9CYmw1+mvZemSl4vZIvjn04OwRz4QAMBJUUCEN+WbUrtnnmjKtO
9idtFPdi6OJbxQiPzHHbu/axOkgndI/cQenapFB8ZgJHTjPzdWBTsmOUOlVtvyW12lgFeVO8JBOL
AFNU7+OAfrBpnAAoT1AcLJ7NOyAq1kMcuR+ydMb7UvGaQhPrbltNdvDO8FXL0Gh2Q2DfneVEp6KP
guITT271kjkeOHE/lYHDzLR3bys8wIIT3HXHn8E8UhQGbNl+TcJLXzXStfkBs4nAr1bJelp7pHu8
Wnakbv1K27eM+b13lDsSx1DfEaHl2sZ7r1KMPzmD/jUxJlBCDJPJqZL9WuQAh2zb0B8EyiLZFkH+
IJjLwIqPUgT6mY9MsO7cixxVQ9BAh8GbjVb0hmcxujcd7RDAyeFU1wNFQUd0n+eM8dbzDP+xTpc6
LLa9XzRUJInKaIwsyu46O8VDbQh+mhYFcJsZ6f1Q1MOwRuNgx1uzYRexBqSisRZSnbRbTsaq3vFV
JuQZzqUDVgSi4Wkx4d3mOgr4OkVCjSDnmVBXP/xRYCR+4R5yfnel1x2o07TgPC0dqGUsUol8AOg3
+l1xqKZg5qj0Y6b2Q2cVz56bpBceuOmWw26+j4jMeula23qMcUTv6iaM7mcjpT6yzaZ4mJHAP1rz
zE+3jrnHZjzlJ88f+rOqHfQzLvjwG5VmcCiJY3W3JIbkHKXlA/pIeeyESTiFHVXta6Zj+TKFw1df
dQZ4GqvvD1HFrAaAIosLN2Hjkk7jW2PTO+Bt7Wq1agsCA1pT9Q8WC74X4FaofMkfps2IWgGjjGHT
fGBHZr/NaW1uuMGwjeo4uUfNGPyq2np8tJyxuEnwtUCCLEg+Wc3QfQ9OYmLeRWvD8GxRCyDtmb0P
soMZGRkdOxEbnMC4xb/bcQmXcTSsnVFPbywUjdvBrHKEjcAygpUowvRsOEl9cVjds0YQ/aeZNzMQ
I936PxFzNfjMAmHY5xJvGypRYUYvohtYE2fVGOfrymgab6W5LF4XQP+DO8AxG2g01wD4SJpvUVBs
WiekqyJwU9irocf7yKHXdhtz6sdsQ0QkYTXuOIg3KNRTehidQb3D5EKtBLC+v1QJ8tRahJjtslSC
oPIpyImlSaPzNHK87OxBy89IaesmBHN4ggrWpHuYD/MzrEBRbS1ttXTqWBiL1lVXTTf3Xo6WfuhZ
tRHxWRg13mVi8ngIIl7CvExiXnlMDdBCsYXczH1lHWN4Eh5215wuk1zNPKODdKKrdoP5UZuxcTcl
I4e9NMlqXY1zZnxpckmSVZszely1reneAr8h25T9TX9hJcM8m0X1e2S0U7vjka9/TzpC21t75EaU
cR29FCP5lruUOOhjR3PyJeIe22UeZfU21zFLhjqWIzvYPmVqmaT1s5Un87A2CkAwGctcYIpkNG+D
1J8UpUQ7EgupZn1umyS4I6ouuOf7KW4HbVGiem3zmteDtQWVXxTkiYSigkFUM5pkQwu2xdcdCD0j
5jWJhvHYOMawh1mVDJvEda1knciS5zFB43QH/yG+62IRHWrDhjA5OJF9aAAAoT2UGb589BlarAkK
lyWZuhraTRFbSyaMfLIMa3qn6bEhEIyxg6u7oKnkUYib22YaJ2sd62C8Ts3wguj9oTd0/Qj7p463
UJjKuy4zzfLap6M69LNwf3mzIflXU6ZvMWKNx5oMxW01ivalq+32a4xgtW4Q2fkPpQnXYgZt+jwh
TGCH30uFVgN4BQZ/X5EDbBUwgIrKuES4dlwkY0ZxVFGCggwCxBPlnjhNBYYcwqkA+ewDMp3YyTb+
cMvsurmTrI+JhKnnew9Z9Ap1UMuKuPdfpWWODwgQFoDuaIRH+iov2lmjDYCE4rTZ6XrKN3PH07kW
YirlXW2hCNkgLTLXs9+T0lUP9q9+KhrEcmZ5a1rLvjOQhLY6Dbgjmk/UpFvVEgoKzQS2r9EgJCVx
fPiQ0DU/YSfgnO8SHxRm3PVLecs58Yvel1gHdj3Mz12PYO1ioa6O7oAqIkqm52hI8CrxFbM5D9Dq
03gv+O9N3qdLnjovNn7LnuQdQ/r1MZk7TdJDllgbJxyZf5mZXUT7yGBkg9evvvgkue6zGiRb53fj
S1XaYXqXG7nHM9ws52YVg1HDRM15VOtR59eKyMaeXR1xJvuxdibqC1nOy263gvGoRLm14wptlJkF
rHJqHX3MzWyfAUKk5tavxxklAlBIIBmN35zbJEM8aON3mk5DBiPw6LPAVFvkNdNbFVC2mcDUnkbS
KX+76eAfTQYYP13kI88MMjqihoU57AfTAKRiOXoPqoKYoEKBvYLl+JVaw0T7bDtMhHAlZOxX6Vw3
7pz1d9xG9SZI2e30Jk1bLpDbTNEEB4CILvcDz2wLfyyo3Mc5sDLSJWg2IzbYkrXqbgJ/si3aYH7o
x8m8Jc3K2aCDK1lmt+O0xsa8DJCC8KNER0F8bgM2hBi0akM2Fp6KUhv0ldqO72dGobt2VNlPJzD6
2yx1xscSS8eRFhNWP1+zeRfLwd8ERRVe2sx0Tz3v+uOkqfobI5sOkRzJdgSM8EUccHHnwjB9DHLa
2LkNT0CH7ONohfrFcpP4hoyo9CxJ/Dko1+6wGKqCzA6AMyJFAi3dB8rx5scgx/pMuoNzo8A/HohY
8l5Nfmjv4CgijBloM3r2LZtwttKbqiviaysn5oqBs1ItAWcrQApY7kMRfYFWewpHI4ObVm3zJsNZ
KQn4KulHtxNhoDe60q8ImgqyOdphT5J0s1VlnW4AGVGZzj4YNM06R1UEl7Xxh0Ws2DLVgInTJNVK
28QauaI7CRXGB9zd2Tn0kTTrQsXryBozlBNDcZkxaa7Y4hP7w1r7UKaOPugkkRtD++CnTbfdydgB
WxLsWbMG/w/PoeX+ZedCB8ek1hSW52BdxYq2WJX+NNpuPIP04aakvokbZ1N+12bFUqYx+mSh1fXY
TyIt9x38uTwc4xPqrvyadW7+KxvHajNqtxObKPJjhMQkkQbK5vNl3wWh9V0cBt+F4vhdNMZ9On24
RcPrZvb+XfJdWlq6JBBx5BDUbc0a3/6uQJlWeL/iOV6S7QP/aITiKUKLeayIUkNPwKQtnSd3ZSTE
JxFiSpnLZpOK11+K33wpg72lIPaX0jhUo1ZbuML5Q1LidkwQGHzYSzntL4W1Urj8myp396JumIEt
Ezco5BTj5NRQl0PZQ+q8FOvBUraLpYCfWJy+1qaiqmdWQIVfBaTGPHhum74C/q1+uXLGg1RM2h5/
QhLlSyLjzL3VMy3JfnAIUv4v6s6kN44ky9Z/pfAWb9UumJvPaPQm5okzxWnjCJGU+TzPv74/V6re
SzKzlJ2bRjeQqESWFIygu4fZtXvP+Q4vKYsnSG529qYFTE7XgdWq77Bz8pIdzQZHVTffAs/op5ui
M736ygUHal/HInaMNSTb/rYbcw7AaDsastQ7Fjj0gQ/9IEkV7sCOqk0aQb5CkWCl5dkmSRuHVK1Z
j2Ujk2vP83n+bCN5ckttookzty8ZgurfnGzIMjRxQflIs0jbDE1j3Mmu116rAEZE3BLM5gijdRZB
qcKnJgS3whqPK0uEtFDcTjy6pL6tAyJ0bsrcjtyV5poeKlERH004NStjzA0qKUNd9TmYU/LdmluH
ZKijNgzGRYv/bhlkVrIxhuRJGrm4Qdd5cHqdrLu5xevMzV4IyvR9u6Fhi9C0WAbrngXmFjkcTWL1
o2HsWFLQLJnbyNIsnTfHtd1rFH7V7aQm/VEMXfSeWAS4x6luHZQnSXBQQuzU1DXrvCNTCQuQs+dg
Z5yJiC3vf91A+eQDdIWjzx5AifTZNnTD/AQeE/S5YnoGDkJb9r8U/hL6k+7mx5v8rfHjf80R9OfW
ov+JplkiNn7pmD2c07T9x/89p8W//+N4rgOWsA922d9e/9MSZH9xXDw/noPw1mT0yF346ZUlHmIO
OHYdjNlAB1wG0v+0BFlf8JNaDCSx/5DmOgMJfg4fDfmFM7LUsRKZhrBZWP/W8NH++JBocFAcE1v6
j5X7dytzhiNSbzGxsOxCQ9E0HACLQJjTAs1yd1mYsZ2vPVqAITsx8c+LtjbjtdDKkoNQR59eqXIz
Bo51aWdDwPFqcFZJ0A67BFLJWmt89PGFpnRSCCy9WyFUgzLkk89Q5s24p+QwFgnDhceBbWnLIEis
a5a7HZST8gpbXfyoKh8zkpPDb5z1WoAM4qOnPG+fTT0iqFnXlWZBdUDObS5wPYVncmnh7BNbF678
H7KwelaIubNWLJ5VY91IVntezFKyflaV5T8EZg4pPqepVaCz6CE170wrEKPhipD3zTwMa8YyHI9l
2REgW4HHLuSgbXw397cj8jYzmkijdam9CMgDAcvJNe6XnGbMbT6r4xIr7qghUcyVUcd2VmfTMwCg
aI1+2djps8YudoLxvo1p6R9rVXOY9X5T5bWpmNknqXWRVWa7CCQezJzAsaMFpfKbCYuMDa3Q2D/h
I0c/NICzGjCPsvjRscbiUYVeuxOzatBBkugshRVAoprVhdOM8F8WEGJeW5IDD0YLGHeLDC8WxLoB
b+21DpiSjELtXtNSnPeT6WDWmtrE+44hhJxFDv2zZkqrjjbEzzNDuhiXrdnhME2bZh2KRFAlRfyU
sAiIC2xxtK5Bf9GVQyK+hlOjr6bEHlfB/DcJAwLyq8JW3toSDl3ZcxdWsjKKB0I8kNG47GXqa230
7LlpJ8F7ETnloMsWKUd1M3bVVWo7xt5Ly+Dakkjb9KLyA2533hMtqjEoptoIxmuf1GFkGPAdTH6k
vK74iOc2YvS4tjQYhdlYEtvuaM2Anguyqg/ETy5QGVf7wNTGTUrD/vuIR5MQDih8YM30gEqGc31O
7d6X8taxa/+MHiR2GXRo/M+gS3wFIVTawBs9hIClntE9aGghOnl1wzw5QR7tFXq4aScYWhJk2W1o
Juo7aERCv/yc84UMoTZZuY5yl6Z0g1Smn2pj4blJ2+4iVxNvaNfH84R+9qvB21qrXNON7wJdMl9p
NVf8pJgx3HbgU8wzj7ogdasjBx0/TuYaK+pvNio3kXm+GjrL3HkW7aON5DRlXgchWNYVwiCVrWk9
2LNXqCVFElKZdYc7Fqc1s7EUrbBVZ3Id6WgOFnJoxXs/lvlea0JdALuaFPkCKiNeThO+ddAJx6sR
sXveLcXeqxT4FUY95wSSMZQn1K+5HZSFP6clBn3SS/Oai4KqW3eL4WHQInVGzROCp6jifTH6Dbr6
1kgXiU1aphN7Ek8cQ32gfoEkg5dmkMbFTJojMjqUPdZYhZjDba8t1j1ekB32RCwysgDf2BXeeyUZ
lVGAarTbnTD4Fk5R/035UbexS3+8nJBjX4dZrR0a+ufXZN1azFVoscPv1kcTv/poUHI6BpZwbP/5
icxTwQQ4Vy/8kHTHXENc15EOKcv0XsBvFWu0eXP/B50jaA4LcKabnBrOCi+uqZwIYRE6bqcGv7Js
fMq5gh7nEmpV3C31WAcU1yFC2wOWyw/MSZFtuCiWwlXjSP9EyT/sRpsef1DRQV4PheufrFpPsMhp
tGFx+zh1MYP8xBm/m/fVNhidAgLzbokMvxkzAi4VBfmiM91sY2kuw9fBaot72+q8Y1pwvlRY8l9z
GZiHloEgquJWbI3ZFdRFdHI5wrgMsvN4J0PNWiVW0IP+LvsVX/Vqnc9rejaCACwbGNq2GsznRNXk
aYaBWW0tLIGUSkl4qbHuXaQkol15NfmzDAy7lcir+tZinb8uVYdYgkSuYYm7vtzafWBe261JX7bW
gncdHj2GtjDu1q0rveOUDtFOUFTu2gxpTWYq7UCdTc+zl1mOFBUv6Kro0+hCWSmdHJ1SmRaaV++i
OA1vU7RzjI2bG2/KQW2zWjIUBhcnn9m3vSM5ouiFLWu0byaBSZGJLlnCpSfSg9tgLoe20gzIu/Pg
exTF6hbdp38vC9CnfDvQiaseYo1WV+alrmR17tPUfkT+CMpcTO4Smmu6M80GUqiX6RqZB8CSFmHX
OzcIQJxTUk32KjGm/tRVmgnRNHAwr0S6fyC7EE6eUD2QtDDcqIB4mUbrFGhWvWk2jhYlt5ZD9ndI
Tjxn6SKo3pHfh8GlpId8ZihLF7qJJyHJLMotZuHDcCImgdHUyIBkBA12mty0e5a1ija4zFAcsItt
Oy9FZzSjNws0pbQdacNkmEeN4nJybcDL8DLku9HlGbQslt95bIb7yJ2YaLdu/epP9Bj1KZObjnPd
YXKn9j3FM7HJ9bq7qxTb0AKWEhmemCYONITjswzxXKLllOpKkS6B2yepwk1pEeupKtvYt63JXKgu
nPZI8a8fuxSfIhORFnZ3FG5HM2el03jNPtQVVr/SH64jN7C3zYQGuLbdkqvZlF/9PquWKdvJUmWj
v4vpN932VoV90/Wd+zryuuug61HSpyP7NZLvo0scAYbijGAfkEDDhFyH/AnbOTGCUN/+foX+57X3
B8P+vyzi/ydW6Daivd8dhlbn5vyTDn15Tt//4/8c36tzcv5QlP/2kp9FuUPpDSvY0wVhJ7ajU1//
LMrNL9C2XJclZOZ2zfDnfxbluvziCFdn+MYe6RDZxhnhZ1HufpEmXK6ZGM3PmhPf/k5RLn9wY36n
CGTWTfqmTvQUTBwGLvanwbfXRlofx6gkEPuubT9nU2F6Bf8Tv0Z7yiL6Oaiy5dFmRd2J1Gj2FM5x
snRTr0BtrDWPZm8KlLmo05/sooImJUSW75M5iIOiIXYddvAm22Cnca+YwNruvrPtnj6ZVeavJuSV
Y53Rjzy0CFmrZZvTqN0oE5nAkmRuOwYJT+DLog4LosQjzp+MChL1lhWWlSJydm1j5RpR1S8a3LSI
Uzr0QMdei52vQGmjeA2ZdzhZk/BRFJZVi59a2I/l1MtHH3YWsiOtv8oxnuDWnQh4sTOhDh0cHnJH
4oAmP2WPd5A6+RB11mckpDHGxAxuZmZ3kBR+gi0de9bBHgN5J7K+tTYxYUcJDv6pZLKidMimPcKD
bAVWe/CvAgc68NoKCF5dQiBg5ltjGeyv7A70+0naZlMDi0RqjQAwBjGK6p8GO5bZSizDKC0oWYf8
JFsNoYcIx+qUjxFCwDzA8Lu0AfUEIGCi8a6f8KiibJSoL5tmSNDAhA2O0J5lB6c6+qvXGF1/QSHU
JvlqrGPewMRf8yTCOrqKkTXtuDMmDLOoI9WJSsSn53QtoY8wMvOialgz/8m/SsNgTZmidPC3tqri
Q1ENQkFjrIYHUcTODWNA+1UMLptzi1gZ1EM7cGlc5aKk6CM7WbdWLR/LNmwfXWWZWGzBm7pLV6Qs
6QTE0ylNW7z9QVoyuHNLxu5Fw2Fxz/wvGOcApAF/Ne+wshrRpeu2NYxbEKQ587EyvKlTk9Z/R2zY
qy4CPHJlIEdnSd3WX2IvDjjtGclKcTR5N7OAWYI/WXjGfTReXAJ/8vZmp0XjqrRC6a8YKer8Pd1+
KR3ONIvUFka87CcPJoydmoW56TGyWrtx0IibHVtcDSuGmFOHsrF1nkuoFNUCOQCjZBp58YpiOLcW
pQswbyGKqv1u69NAp3uyMn8ZCoR1S9Au+OGlW7Ybn0YMe52R+TdpN2DcYbbYo7LkF1v0dHZ1IERj
gVJNktuAtgqNbEjgzd5NGfBm0GCqlZ1EOVS43gxc+vBGk6JgDN1V7bSYFRZdkkpNLmqzih6KybtM
nJYDSlv1RKhRbBRHIUuPx9HegQLsqWpqET1kshdbMxunNT3e6YSiNTmOQSc35YAIdgkfyekvRi9r
9Bu9CvOHqsdHhnh4p1sdyfGegfHrYHppdqeCaN0k6P62ka/XE5MqnpSSLJkL0broTxo3Ez1vgPcd
1ZIWFt+Qwk4n2ekcCOECE96kST8eH+iGQN8sx7ET0LbHwY431ImzzAZ2KoOdNIrDb75WBrc9suhv
cdKXOM7YY4N9jwFougrjRB+XOl+ZduNZBfbY3mXaOjISagx3b2NbnK4M1Y7ThaZp0UMzNk4MCJY+
8qYdzJHwISuQLSzSZmSZX/h14GozLAOHH82Ncz4UR5L4Ik6wFP8jeVqCb9KysFqsOpbFb7v4N6vw
RtEWLT71dCiua9k1W70Au/3fu29/2N3/N8n/oePQCvvX2v/TOa6D81v//l582OF/e93PHd78oiOX
Q1xM65Mm6Fwu/NzhJYwenZab6TIC8hic//8dXmeHB1FH5gMnR48oid/v8LauE+RAOw7SP978v7PD
f0JS2N6s+GdiM9scJBy9ud34+7mIlfd+gLAcRkifHrwU8XPPYU+l1UuD6WZBxw52/Jw0XrVb31Uz
o0E8wBwRp7zunow+em6LCijuNBN0unbXlM11xMma/rU+c/61EI5ljaTASp4al3OI8OKn3sr5fo8H
cs5pabQoRNDKLiXgzN/djT8BbnykDP345VwD2IYwXANThfnpl4tEEjToKc3VkEYrAqLJJfieVcW1
sJ3l33snkztp2S5yeP4x6bF+vIxKq3SngxqxqnUaTeS8RsTgjU2+0gu1+vVbGTMl5Pc1GUwOjlD4
0tit+dfML/z9LePw3KcaJ49VZnevjl+iYkqzx4Y5OKh5fe93iPMSuyMhr7SLldO19VLY6JOAawRw
u/tmh9Vta4bkWOHhzrL0QrNwBVhW9cRU+pjbzlkGK6aFNlyi/Fs1pOOyMOi8Mts6jabiIAMliZGu
4HhPvpSBY33ZID5AnBP2uB3Gs91Nz4gTXozSoQ2CEeEvLrc+37lP18CdobYUuBYFqvxEE/EtBN2j
oXmr3HW3AZ4/PR3KZYGCD8EcE8SnIrU5IaIcIK1zmPHjZpe+JZy9f30zfrzRxw/i6KBNDPCOJqHE
ny0zYzAMKlVYsZKGKkcvmZNhn31yVT1HfSWvTD6OZkT7IEmOVUuKoDXedH7kbGlTJYvUkzdGW93N
3mpyLba0V85TpF5w0mymxLr9iw87UyB//2EdvEwsQhj9heNYLCEfn5wscvECk7mwFmLCbYd9zxE9
ymZxV2r2BW3Y+7rN95Fn76bB3oaleCC4o1q0JhQreuvVBPZEn0j2whI6JQFRwrCHCuKsfv05/3B3
+ZwenEbMoHyVgJh94uRQlTl2GDraqguTO1Icyw1Nhx50xnDVzwcCv4ZzFfWkpdgNEznC4bpyuhvT
at1Snv36w3wma376LO4nsiZEBD1BvkOkbQaOr8DjwVyffDFyUeS2/su3+7EmfbpHMON5mkzulCPF
pyfbQf3hTlimVkZD+QukCfMeg8Q2JeFjNO90lciNO6b5qsu1YFmmTnhtB+OeQ9aLM2JSRRxer1WP
UivzsicfhK/CRJFG9T0z5vgI1ihZkiY4gBgJbxBxtitKmIVmTCeaQeYusmlLF3pWwpBHnkjrcQ1S
8MgJlh4QIMC1aeIgKDW18elhMNqt611Dzt86t+iFW6jIFsxjjXVjTNe/vhEfF3NmQzwUtmTQxF4F
H5t97+OyZ4ikzhtuBFOM9WSqTVRcDkxc4/Qv5N7yj18TBmHMu2gQ8UYkpn98J2sCMEctHKyNyCFv
In7PsBlwv0kanjwD6WsdPEZDf2eW075px1tjlM++i+Gmq/2XyicHxKrflDMtMhHvqoT5TVNdDHmy
/fUFMf/4aH78nJ8O58L3sE4U5J/6k30a9X5Txw65KzjmfDZoRHmzcK7oQnzuQb1IhuyiGooR4kD5
pCbSfPJ+0i5tBuW41kpjR6epu6jqKsXw1cc77FP+VpW2eYC0HD+0vZkvERNdzuaphVm0xEU3iNo0
WYDJ83hjW3RMUWBhQ20z5QKBE+nAZZiuIfS1NDXzx6GJzn5QgOYregxXVvsg6bitJiqH7ykzALri
qsJqU6ojQUwTIsDk4dfX7I8PEdUO5n9KK6aW7CAfb22MBa+1jcxbKcuHMBazCHbL0HC2fiE3v34r
/c/ei5rDYfANaZEuysf3GiI8TrWRe6tOTsahbadHdJvGsaiI6Qh63Zx9OzQUxotafVcODufcqDHj
eWywfZNXq2nUbW6KVV3r3vgXH25+74+rjAMDmW8tE12+TZ/LviTqCI2GiLaK0uQwkhphacep/PoX
V+BzpTJzJAVdKPh6mFrxZXy8ApWMVdvZiWIOE2BBnjv/Fh4J3wJ2GAZzU6G97VVRnJPS+hr1441V
G3AfkUQ7ZkYc4ZQWzAPCbO3UwzUTnuCUaEC9K98x/6Kg+LNPih+KTZHHgiHtp8WloeWd4ODyET3l
rCohQ9oIZWZA3wedBAjVwNkImkQuVJ9fX6TZ7P3hTsAsxFVKDg7Efw5unxYblNDNlCvsUfj1Ie86
LDG0cL0clrBE99Iimiv/4i31P3tPKP40izx2WHo+H++Ll47CdGILoF/pbznPg4AMi+FQ0G9cyZDS
Pm1fA9KNy8A8RyFa+UmS/al9Qy+kloGW55cuWreIMaeeO3Sd7n99Scw/LMAuwkoXjDWLsO1SuX/8
fINW6hAnGjTUbrti0kCqp7/xI74uJCTZ+KomOJw8RCiAYGsEh3ayX+q8GjaEsT9XcJMWAC2wV3Tf
oyDYpIPYqI4DtBaH170db1FrslXlqDeL/BXdsUt8kNp0DFT2OX88FWZ/IMoE9S/uihFZ+ya26vcx
FfftaD7rNSFiY7bp8JqYCipnh+vkL+6QM+/yH54KV9ocWxyKXL47hMR8vAJZCNAE/4+DF9m5l6l1
w8xh52SdBi4QyTb5P9UaWfcFnt8E4yv/T25l4F2Set2o+rap+ls6NGwGGsS7MDZJpazY4B3y8AiR
caAfrdLZYawb1UnVoKox99DBInG96m19ZvOdHGX2K+YjZ7BYWIgxxnSG96zL8EJXxipOIEERhNdF
sK57QdeMfsdbMGsLWlleVm24Que+1EV6lSTDaYiiU5wwmQcDc+6aZqUZBrLprN82jX1BSNoWd8y0
HrzYwbtjTxszYzg/GOU614S+ED1uuSbFxIzGdxOY9dIYbI3xlH6QVvHak+WdJ08OLvWwef/1w/iH
TRZvPVkF5CUgG0Q982llaO3Mz5ySvFtDLstpZzm7Lt+VIK3yn5Xm3xIw/RfGI/+bGij0T7ie/7qB
cnF+C8bzP66r89t7HXzoofz20t96KK78QouEYy9QAax4KGH+Xw/F/CJ0Yy6XfzD+57PwP7EJ9pcf
8xSWkRnJ68xH8p9DEql/YUdCDMuiyyZI6+XvtFDovXx+RuBZ2jbKFFYtCtM/JlrooHCmeKo3Mz/V
XIlKYQ+tq+CKxh/dEqvRH1083VgtEHGcQmPs9QO8T3LU+xColCnDqwq6dskJZzTf2CK9+ylrPMAx
uZL2Ce5nGzwoNglMuVruPnCAlLR2pVwNmoFbSSS3pWkMXx2LMWgTtN1VkYkHglUG1ousvw+tIr3H
pJ+9tYSDXlUijXaSxvLBnqZgX6m0vU5xgtQLplCAMeukSYtlGSCWbORIHrM1QqvPmgwXitB7saxa
d7zxWr8jci20k5xJR3mbDThKbzG6wICzgym9KxiZdqsorLq7VM/JQJvMXqc/CmqF7r4pg24vVYJZ
wEDl/qZpLlryscxIDDRSOq0nnA2eR264dJz1CL2uuhnHuHhD24/uXXlD3D1ouvLe8mkavk06FMOd
xNAE89Sh466iXrM3oedVyUqDjZ5eWWiz+8OkWd33hmBB9nkGBi9oK/X73MZ7ZVC630hzhLsZRfuA
cRhTeC0oxJaAUPsbKg2z2xt2ARu99KtS4WqwBZqWoaB71lX5Ro8Ujlda8DG66VHcmzhCn4liU28A
LKrXQdTOJee10VnXbtnAV0ayvrTSoj9SPDXbjM0EhaZVpVuuiqkvG4vMs6QuO29RhgVrT4ekS+mN
OuEWTuOXiYfjNopSjb63yMRBA+KDxCiBWjQp7DeFjwOGRU2Fy6KdjUTKJsTQoLlvmbGUW5Zf5wCL
Xp3MLH5tU54WWjz4AsI0Z1YequjOrSEWg4Em3Sfh9ybwwF5G2qQHqCyG/CzyAXti2BrfVZK6j1CG
ecgRecbGS1A4EOpJUlgyIfhmsKHPAQ/aDr+QQkkP6UlgcQpWTeqFR7tJb+dJ94BzNjghVbBu5gbG
c1Ul4YXqw9omWWgKtmXjuK8V8AK880JLnpghYfbSpAVM1A7x8lE4SsAircjIsJlJ2+5SBElUHOrM
0LaOO5UEEyLoOBGUGa6iLLuFFyfWIc4Fui9RI3HxefeJaXbPlekAHCo6nnd6olaw7Lo6djcI7lxj
J/x0OhPx2gaPrchRgodDAJkoC+wIEDOzp34vEBNCZ20nmN95KsJsr+N/w3jtdcFT3YcD9YWumnyT
G043nMqR+mMVxDMGSrjSCDYoH2VJudXrV4Ta6w6W7cp+NsjdhAroKiT4Wx8w/yNBYaV2aZl1UG2I
BA3aDUIv3UIlVcsRxkBvWJseD5FYRQM3Gut/ZsE9MaTKhkuzdFR7AfYT6qVeRoKQW4+/dRu4Pf6q
0aFf+NjwdLkL4STsvb7SgJWEPYz0ZYZPkacMDdOOJLnmXkSJtYdWo8q7uM5Hdx1qjRe9991YnDrQ
L3yxaSpiEp10rK18ULkEBxC/J32D58Dw/QqzS0ySHKczBzu/LvCLkZChMewk+ROFDeCN75UXlfhG
jV6tUVfiWubJRPVYoLdc6F5l3lRdmF1mmWW92Rr+wR3dWg89v2lV3wwvqQgzDOJyzqBjbhryRywS
g/yaIXD9WpoopFCT6OYGGZraWaLAzxeAP2DmEpKVO82YHg4wQNEXuMoC8BjMdeplS3psvuRXTFd6
WKA+iQPkp5y5Y7qyUVb1zx3itosutrLH3ImwKAFuGS/bXsaHrDK8YVFR2K1Zh5SGONPrd7be9Bed
V5IMobkM3N0ogIWh2cONNUBqNgOOBwjmAmRbjYXmJc5UvvdL6XEuTwDh6OUYHpumnyWkVXkPktZ4
TBu73+gVEa9T5tlYIXrcjSlbJNwa8CUkZXEGNzQ5RGsVamQVM4Jtt2JsvVOBX2YJWA5PJgxIVKBm
VlxpTd6eBbKbl5Dz7EMd6PHeBhq2AaTr37Jbhu621J36HuLDAL4lNN+kp/f3fZX2G1Tndx7LEp6t
0vHqddDld1FrDpgHp6A4lNDcxRYVhNrBbcUcVHdId8CNhUvLbDpjaTGmCzZu0hHPWyf2swJgV67a
OquPsT263z18Eoss5DBJo0TsIugOL0jviQDO0Tv0O4FGb510JHcl8Mt2adrla/Ai/aUFOT2f5cF6
tBl1fmHwBPp7QZr1qcVAGixlBq70NKbGVKzqasq/lkmfOBhgcW6C2CjMfWG23ZGobbIOc2SL2IBF
E75Ymmbe4JgyLqIy9q6yCo0uwlr3la25OkE3r5+jzkI42CNwOyDAUscUcyOfBdnbrWUM1W0aEgGw
aJC3XvFZmhc4nuIBN66NLgOK+i0OqmAfIroFUmDjanKid0Ljkq8ww6J1D3OpueTuZc+CABc6zg1E
pArzdS5NQI158dYh5bsOMP1cUrkMqMiy9GnUUXkATwoxDeQmWg69rdaxl3d835zBWOkitG9EMY+Y
09Ybb/RWm4o70MTaQZp59SJ1PMFrZbZzAG4OcmAFXW5GCdjYPuyyM19qFzfAgH/N2CMNjp/yXil1
NZpNwpcxMrNveV83rzAyOpQeQ46cosZnHXFVoexwcOscQsnHGpqNlTiHAko2dmSL/uhiDJAILvlp
LGZCc5xuVQE7Wlqy5A9jv7FuzAiIn9XXrMzcXB05Z5010JJJn13y6hTKo+LgWZB0vB2nvvlu5R5n
ybjjv4URtN+tvun2UHqLE2Qd52AxdL6J87ybFliySA22ki76mgAR3QZlWh9DaFBbQXzLAc4bP4iB
N0Gm9JiDpWfXbDYjF6deOqA40JwE/OGMnfR2VZTWxAKNxnQuvSwy1+VgjOdw1PzXph4cE7FFBzhX
uSYubDmMQXytA8LHahahh5C8PKNbDNt+gY4kuyrpMt9SmAYr7LaSWKDQVQXzumTiYYWsuZVelL94
cZvyfSPWaINcIdTRixCB0CAHfs7yxlZLBCbZOSa27Wj6HBUNhPzrzq/aigJP848gG3SLdrIV7x0+
0hrx2zQuI9jhj42rylfkqOW4MHLU+2Fgcbr1UBcRoz0Op6ousvvcg/y9qKrcusxd8tuZE4b1PiN5
w1hLU+XXrPrjqqocb9pR7OTFgiaN+ko27Lzu9CyTtcQrBT0Tn23lUzStRnTpKcfHsXxxw4ithoD4
6apKS4v0IDCZ56bJrbWDPT9HSRfHV0YomXA4fQpqJhgZBCIURojeVDqT+Bp87Vc1Nd49Iu7YBUzl
TZfhGIhdlg9Zt6LnZT6RAtQFdzEx7telGRgJDgPDfWuoLZsFYcGjv6nZma8zNVqHIMkhg4Rp4+6M
HAbCElU+ogLFNduJkDwKC9dhjUKycm4QAoOJcbNe3jFsLVaFrdoHrM7hHR1p97ofFXVbYJX1TSIb
q9sID5YoJYkmSF1uOntE66Dsu872wquom2yKPKKArqBNxK9oZozbsmCh3tlGTlIKYll7bXWW9saK
B9kjqe0NqbnRuzNij6MUsr6ih8n1DXEC9q1oexsOauSES5xyYGBK7OkLOsLeIbBz5zlGwXmdikr7
loPLvhNjUIVHWTfpMetG57vnirA4AbaHfjHVVvqGfrd5mPph3CUYR49OYcXIwJ1A0OIg2z3b2ATd
jyvs4Xg3sODau7GMtK+2GpNundRFvRWN1RxTwJhLZwwFPB5YuWt9bKt2CecuOYg47YOlmXTj4+Qi
dsuDiF65Mzqlg6QsHDaxnhcnWsZOvNJUWK37TIVHcoHFXk/bp0E0c3BZHpL9i0k5zGT54udiPkzZ
YOEDJCEhOQbsXcq8CVHLrK1RInUNxz5fCBavhaEFD4QyuZiXSaPnKUTSU3vfc8fcAX2p9oPy1bp0
mwTUWDBsXejz5BSP/jsctfrKlDnr3wh9eVENnA6JW9jmKfT7nhIBudDQ2ZdQnfLrIbOCfRkV9UYf
NUghNezaUjntaw+96cbRRuYXfkdplABzvZ/RPBvYEfWuTzz1QjlTL3MvuA0zlua65YOOE+HVPRKc
hdPlPrkBxCIUXsW0WLX1qZWKnZpkj1Uf9q+cHhpahqBGAdCkMUnsffMWl0h21lGfkN0cBe5LVEry
pLPSbg49D8hS08bqWJWAS808jg4euQznyS3fJozonGlMf95OOY0VQUaywlhVh1GTE8pYRU8vAAvF
NTbEhRda2RqbkLEsSZBeANyUm5A89psmFaO7LIcBB0kZNyeBTWQ/ajA5Vq5ViStrspina5F9MnL/
nsf+xjbVsRvaB0TNOAEc/BWulcCfi+HB1ZCPIKTV3dKLFYO1coqCi4C0dFhdY5s85MYQPApFABqn
T1SEXlZ+tUUznMMiHq7tScoQHVUTXYyT7exs2Zt7Aio9YyuGGm6niIbpmSnZVQxi8CpGT7b162bX
0sejAmwxZWAvb1HxV/4Snq/1hHa5+1ZM9UUaJOWxTqJ0VeoimVhiDPVNer5A3z0MCP2HfDO2o3tB
oTcdu9yrZ/Fbe5cGvDe4HGvF5LHdlAkgBh5R+KjplMpL1AL9feNQm6MQbPCw06F/Ln3S7Btdduss
JVAG60D9zc1CtUk8By6f5/d3vrISzjmN2IBYZ3fDX7YxNN1+dLPSgwJZKNIAu6qbxJpq5JoeogP/
oSuBleetnq5h5lkQoeM2I9SAHGS2cL0MljanNk7DmlG8NCnF0yoA4/ad8W3jgLAf0OPrMss4mUBU
JA+xCN8qqZEeAdll2EVTmL0MqqI90Roy8XHfRIW6TqNCPPhhl1N+x+l1HhnyRQaafSXhALzVkZbr
i9hMII4V3Id9y+lmY5O9wQRuGsKHuBx6/LsukUJ3RVFn2W5QpQvEx26KOZN2euqCwto7dID2A4Eb
nBcGI7vW6bDau7lBclaWpq87ElkZQnaD3S0Ns5ljCbNGu9PrEUNL35lL9pfiDthmc5YEPiy0Wk93
mMBfqigPjkZdN9k6+U/2zmTHbiTN0q/SqD0DpHEGunpxSd7Zr88ulzaES+4ijfM8PX1/VCgzJY8o
CQl0LwqoTSIzQ4o7m/3DOd9Z/SvqyJyFvi7TfAS95kNtzx1KTsxQVxGgCUarRZM0gWjFYu86NL0K
7lQFYrgz5oXzlNTgUHYVt6aOvzxbS8boPII4lCP4rQ0bNgBRuOyWdpMMLq5UdeovDpRpXKi5jV4V
hFjPH7OTZ1nI5sgEh8hKdvxEu2I6yI6Knej5wxh2yz2CwME651PctacyntLJX+IZP8CojN7MVGLX
6fZHnFa5G7Cn1HB5MFLnRJIqYSiauVzRdDaf3IIbi8QABJRpBBmb1kx5wHbinBVrab0V1IjXsBw+
8ZMDt8GRbxmnus+Ta5Boxpcs6Z0PTGbwJnIfUUlX5q5Is+piuhVRZU0U8WNCInqe6jVU3I2zV6BY
SrivSaLANxA3KdjmRZ+Y7QBtgk3VMDDApiTIQbGqkTyWBlzDFRsHqJ3oGyLmEVkN9saZqg6velv0
I2P/CO203pa487A3opKVUHIoh5MYd3ioghDYt3RiyTa3ZyfbDfag+k1qArEwmqp/1kMQZNuBLQl3
TptlDynjQNMLmVjCeB1xM0uAUq0X53wxYfi5qXWszdx4gdQCsruPo8lLxxmzBBwi5gKmAvsyzqfj
6FarPFKrPli55jyDG0UFTeaNclM6mT57LSDk1hv1dka20FHCyqxvDlTi2XZYKqTi4dy3tHckWCHg
STq8X2bsRJ+Meq52hdVblywsIFyLAo/FtrN72zelY36xmH8obKrRNFhGRnyopOZ5TlqMKjvN6tEE
g9S4yVmy7DHplxjoOz27KxSyvrB/ggWMG3oPaAQQC/hIIDFqCf4W1NagMfycPIsqGPKS5KBQ5LhS
2MmGeYU4pgn7oIcAswOVgmmDgNfpI5J1e+GVOO1TP9vo1K1+cnnVtrXAgU87NlK2OzNAG1Kq5D6L
tQcHusoQGJ1jUSekkX6y2qHPAUkOyYtAAs7cQk6Ktp0jTVWwGhoQVlybJXJS9DRdfD0ttA/RZJsA
rdQpemZl1O5yOJ5HBiK23OKlK3ZMa7PXos7FVYHlL0GL9U2T3NqNdS37qHuqXdIb6lEd0k0/h1DX
RjZNlpcqNske0oA+5Y18VfCWhcBVIezXiM0BhT1gRaabnwTHz2xpyedwHlGm90LU4sw5Ac8gUrWK
L2hq5trBmeqm2EWOO+inMR/6hbXeZH9pEBw/ZpaIacYkSRPAvhjpbWQHzCKKLWaP9AJEYqd9g7Ck
BEUfvcABtE+ss5iVojJ3LminMDXZnJ8c2EmEhSzn/F/8FBuV6psFziQvKzQGNmS+QJwa5FBdWHtP
I0PadPpohQmaErvuP/JLasS5UbHdRFXU9udKFQN0C8Vm/QPSJ3oNNZnE20kARIFKCELJ41riXJmK
KcsfE31ALOGWC4akvqstb+SaNDaK5Y47w8JXp4gWFvdQqfN5LkDBr12kEoHSneooWLIySwKBw/FW
ELhR7Rwqo4aWyW39GiVjD0nfCKGt4pD2mi6BfKomSPVHtL8cqKqLFIpTVR9Y8U1b7H9qf57BK9be
mjmykP1ZMUeTUGGk18IYAT8Zu86lXciQwbaQ5rRgFsu8MElweTh6BpmhdCJsGuoYMSyaS54wWMAW
Bgo2tXCb5dpXkDfOXcMKl8ljAubJUMpu8lUCJlJ+xlmFhSyrmiJoOTajjdXVym1Eq+E8CYk1LyJD
iwYmAbTkjNqgbGnrDfkV8uT8CSMm1sNECnnHFJc4dQrX2gddKu/SzJn3JFjGwzbGT/xUyb46LfMQ
PSV5TCVdOFVyk9XZc6XoYVBK204PCZdIEK6hPFHdYc7rp7B4YaGjvJaymh8SjMiKj++aXb/NsTuf
Mq5CMoCdLL/QQ0IpxoXBLDsd3C8Uc81nFWzQ46JOIDSwcrcBzVp8xOnqOgQlrq8Ia6S+0S1LcKhm
xpum1Ah0wlnfTgwUTox0DBxrZn/TqrPofSUvdTxu9rjsUeNGd109Vndkf/ALSPBU+rGIxH1Tt5zZ
3UJKRgpdfgLo1lfbhflKtF1Ge4i9XGmZRGlVywo1NHpd7h2+vuSal4PO3JJUhuTCsCGdt8uiDcu5
WtXH+3YCJHBkmukY2FqEdujm+B4QmIX1UJtf1BACrWKQj6iitHTqJRvJRzdqOoFaPFOTTSZ3WxJb
94QAMbQo4cVuJAjHhwZ8wAO1aLSQAhXbiqeyilIo2+r6g2Wr5VeIUtSiesMcAGyamr8JCLmph2Un
Q946MezH9kF+sZgQ3OUc9FSUjZXvvi0d/19vXv9LY9p/V4G7QJLOKvW/3s/e9K8oPd6aZv5xN/v9
r/1zN7sG+xmqgRrXxqiGWOO7vp2kWcgQaFq+W9j4J9+XsxosCkOgwmIPYbmOWIkg35ezmvoHyk+N
lkanbud7929hJd7reiwkJCyOVU7otfZz3qlr/mWQwIj+EUIhAxvE7FHUcydgVNqk9ZpA4trnqtC/
/PBO3fwp1vhfRU/BL4uu/c//eC//ev/Q79R5ItHgzKttHbhG2m+imIIuTpZ9lYafx5oa6tePJtZX
8pNiBJWVhl8QSC2yWSHeaWaScEgQw5IBNCSkQkV12HkufAZ/cgSA8rZ6VqMk2fFJ10GW9SBW7QGP
U6Wa/mD1z5hd6eqW9QRNb9hoXJnJ5Ok9idudGn6o61DwVnVyI8vkpJHIEfz62eOI+MvTR5HnQNpC
KSf4Qr2TWYgm505i6xmYaYfSBSwkAVkdm03mw8Sck+7H7G8mZgiM8Q22RHkPKfVaTOuFTnQqF279
nC5MJBmUfVSM4hzrxk6U6efI5gpngHPAmQCqeuTPihzzTbH6eaORdOEy5o505voQ1UJ9UAoVq26Y
NXs2qT6XCl3c7VyqXkLS0mDGd4aZ7KN5/Exhs0nHOKBq86dwIMpbprcALu6qbEYa+jqvsAw2dZ8m
OS07ewYx0em5fVU2LrUMJMeD6/T9AUEuWb/tGi/o8GImImSMRtN3As7lg5Wqt5SswJ9dHlmvh+ws
aNJekryzd6WbTJguuuZEIzoB/gUDt0FM1PiG1svruQF3b+Bb2qt2Gm0JG5t8cmvdIwjD8AwLbtkY
btLejENoYAhuqfHa0vmkq8LGPQw/1gGhsOndCoB+YVnMfkI3MMdYfK7MZXgj+kw9DtppFPEIXnOh
iFCdtt0melpuTUssx6LnIVRrwepXaFulsKtXKZNXGZXWYXQdl76dK9GwtFulrUAHz/ExTLOP+LKP
Ncb/aMAcYvPRmO3cMKfiL1QJiLExDxM/y9v6SnOQCPXlg53xef/6Cyk4gH76OTmE+xn8hPHm2MKy
35ss3KjUasoALeizDA62JNqOzIO6Y63MbVvtkPPpD1KK6bzEvfIpDk2NJcFaHYdyDbWw9cdJwFAc
Quymfe+8TYUz3+tAWnctUcae5bbqHTvC9ENb9z0o21D9+u0l/M+l9jBXGKtfXnNJMniL5vBL9/Pt
BC35h0/7L5bsm75IXj7/zV/5btiy/sAVxcVFarmjWViG/3mh6ViyuZEwahv26rziSP9+oQFDMjV8
VC5qTq609evyD7GRyy0osHebOlI+1Ov/VkYLg+53X0zuU/jk+prrDlALmyL//Adc0rrKspguF7u+
Hwh20NL+pZAWdF2HTFl0Ie1prNXZz6jXmKU7MZr8Ijo0E3lzGKU1rzdN58kpZvPVbQjnrA1b2aK7
YkQ8kpmhpEWMuB5geGOa4dHIWYtF0/Ji9QaDL+nrPShMa8pPipIZeIWxb9uEkWA8khcyvxtvWOST
KI1Xik9PH8gOTNuq3gnSMinzVAQEdcXdS6suA5nY2mNmStA0NUrvo74YxVWVzst1odn5lz7l0F2F
s59nKeI9jzde43dUtsJQkEpVTGGfILWAvSYu1DNw0voNFHMo0D1u3YVHDRlx0lISqPY6qPpwMOoy
+mDAnjkoRan7CC8Hvy7yW5BBJUusuDsm2pwfxsaZruGFO5CTTOrOti21ia331N/EdCV7hdiGUxmN
/d2ctyau3oKM1bhLxOPMlilqpuleJnp0aWNj3AjsWDvIRTfCKIbHzlWjtzqTzbO0RuM2V+nfStVx
b6RT697UANjJrVDeIz4WUDHmp8Qe6puYlHGOjto89LzXpw4q7Jkk3eJpDCd1xzJjDVSMJHRCwhBw
P7/gVQUsHjtEjhMDqLlQyO3hntM+v9hV/BYazPgXSeBy21v1s8USwVOMufpiLSCFktlZfNudPsSi
2qexiXJdANivNO12WAGi0knSG4Ks3WfDmqqzNlcEbuTNCrFYsldSZ8hPSxvED4ymzAtoWOVSLNV6
ReP1+VKZfc30kOQ5iJszMolmPJJcGl5GVqR7TnLmmpqDfAHo6lU9229hc9LEM+hcNcC+6N63dErH
zGxbf0GYCeop6atgiWYS4HKlKgis14gDo21NL2684GdUlvlRLJnGmIvBTGSU9Qecw/Mlm93Qj9RB
Pc+iHvyozhsPJQ4JMxofEHt5QajiyOCB5qlq92ocMnUpho5e2fqKG8IhPJU1Ti1qd0tjO0HtgrTb
cctcMIM+IgVb2aYmCSHSdrbcYfaDCzxwS2Jt9mLF0EetVrIaM0lmY68aaUHSQASrl5nmrFBABM19
6SmzWvsWib6BscBnjojfu8qtct4L8hF2GYId5vD2dTE1u1wvGDM5S3UVOqHhmwmpTJ21Wfdzu4Xg
kwoheZOEHkpfhjqCLJ543mlGJk+RyXCy6tX0tiI7dVutM7S0BdOipcbWYji2EwDWEb+rzsdUTvPA
bKcYbjVZj3dWUX00rPxzsUSkc7dnmABfkqGwbhaE1XtI2ca20fKQw2f9N0KcJZ1HG6EXLHdja9w5
mpwJp2w6nyJzvo9c6An6yDgvRPcOiZnVn0niiFymwOpEQWy9pdyVxEMSnDsyZ4G8sGtSS70meZAs
hbnQTipgy2MJ7iDou8p+67A5bK3S0q+aXufHRBkdhOh+7nWMCwHJGKiQZnfy2mGgoyWSHfgVKUeO
Nq+216WaPkTE4B50O8Hkl1LhUIiXx8lW5DoNaHdDmcwH+DO06hp13KEFubgjV2m5caLF3EY2rLlQ
j5hLh/PkA2bC9Z8iJzPR4IC0i7td6tZZoIR2uanmnqq1Nxk2I47/XOGbgFmREi7VNarm5SyKWFSW
4QfGR4tHo81G0h3J266n4sgY19nHuVt8ZurTnajUSAVxU/WOHzk+Bkm4xIZy0CLFSIz6oyW/5Ruu
UYfpt9TDEMf/pUXfBZtJEoydDAneSWaCr5ObP+pjXQfVLImmQcTJG7HPjBJ8a1qYzxCSb/t2vMyS
V05saowCC//YGs2Ivyd5RmG6EH3ggMsGmrstS2xbYZO5yEchRQV6E7eb1iXy0e5m02vXGMiuMFWY
tlmQqn0GNwycG+HUYNntc5+YhMeS+eClunGCvd9SyDr3xTKwW/qWMGkWRnfPhkb6eT++po6e7scy
0vwwHK7iQt4mumX4aULEBRzpxpPkOmw73FA7GHTVTjc5wWF7kxvLoJhZL9UuU+LbeLAfkzXFi1wJ
kjG1tJqfq4RjgwiXPDH3gxUiCFjzNFX4baSJNqxPWgBxa+KmpIK/Uy121/zbPYit+3CIPnYpp34m
H3Tdvog8QuzOfgJ+SR60hKBszDXXM14TPps163MC+HEAzlN7Ia/8g7lmgrYkwPiyhj/PLbEvurC6
j4Dh7ea6D00PYj/g9nwNF53WmNF6DRwFP1qdSmKQ3nKXmEC+ues1ONNkrBGlLQ27by/wtloLwQez
xcBS++eeeFNoYScS4peLlke0MTE8XH4pHtnBHbPUWpaQ9hIOVWgTRxAGzJL19ozSwssphdcMWSbV
iY6alj4Usf2mqxO9wpWBKkNbugNaA+QQTnUWhhNt+FNvLLdcc2sVKe9ixmbsXodcda6cN2RH41dp
z+GFkB5I66EpTua3+NfhWxQsnJruZeEaeksW1fGrNThWS/HCMaueaq43ZpAPTKmZo6kuwbMMgiH1
jZmsbwFCdP5cmc2VMpNWa3brygaVifrE0ZNgZg+nXVsTGjKKedypAiD94iAi61l/ebPGEEyB4wL9
bF5yeCdzGPt63D5UMeLatnauHcXsK7jyytMs2RlUJSVKpFZvJAtMD1VuZ6C2bGvbG8Q0bXQ9d29J
bnqa7OGmJL0pKIr4Ai5xa/XM2Dq9f9a65rGhfdvoRarfMlcptxg/5y3XHtDmb/nA8xoVnKyhwSVl
RWSmX5LY2KHq2C8tGkFp78du7P1xXBN/FiOHmJmiXgyAmPG2J0GZmIibVRLWGVfOinqXqvEXLrSn
sRleW9PYrRvOCxvbehuR3uRZLEw3JipP7l2qsDAOTKhgfmIt81XVGqoXglwBjWvUF1yW28wMo9gf
J7v13djoL9EK/7QrqPwsMRPS5NjhPHD8Oud5WfFU3UqqooRHUKtRdRrxRS1TCVGXrF45QLeql1a9
pYqb78skw0oyjOaN5mDnypNX4oK5byajP/V80F6d9VcWUp+jEpfKpjVNQGmtAIiIDPgYCtn5mg6q
WwdD6aE7e0lmq0JaQk7o6BCEOoW1hdycXNa6tSa/XGLz3I6hdkP5XR8dexB7uI8RuUXJKVem+iOA
R3uV7zug/WRM4NKsQEJEbXbXgHi5dkNNQ31evjgZmfKm20AE5PYh4M861ApkvbbunmureamH0vSl
YOQ/5/XOIv/uGKqa8sGUufNc5KMSSPT7jwWI8NxaO3hzlgSs89a9sT/ICbfVrNtxniNvSgrVXNNk
2iPyhwyAQ72ntcB5OHYWb2oendH8Vje2wyUVlRm+5KL/gNO+PrOHaz6STq75qVmjEGahpnDwrArJ
kXQmLawB6iUyRDaVh94YuWRv20TkLKZh7qqhDx+LOa5v1Ug4PrkT4Z3eVGQ1yqg6UIONd6XIig9N
1LCSzkf2KOjC74SSq5tBdtlrmWskzkmr+OpWVbibxsog8IQKuiKV+wxuFm0yBPr8hRUCmvJhSVi9
jo44leos76OIKo/VTC2fsE8YHLUVnM8+jC4aWQq7SM/Vi8YmFSpPpLM5attDuOQasxQI3IWxIIUD
z+Gzic5fjbp3Lyz4zadZ05RN343WxoKM8NFtiVFP6yS7L7GqHUfHQe2WaHLgrRdkK9MJBPxiEq9t
18u1iG/bxNgujRlTsLXsEgn/25NgMV5sPBKeNdbFxWhZhueqaQdLGL6NxQjTBzSetS2ymdJt0sMt
czDnozY1OukNuX43QigNpk6rT1GbWNSfFvShzoTmaHK9LXnkvlVdKHyXBvAQz055bUVSXuCJyj1S
Wwpyo6iPJQhhbg3D3eIRcDRSg29SZSwCJAVQzqWrHaWiAZJGN3gRS3Odq7EgmNnEFW13kAaXlPFh
JdxDxxjzbI5N+pUXWgehW9knRG4M3bIOudeYzV/JJPrS5SlxlVhpvAqwjq81E1RBV1tBDvD18qwI
T2EcXYY0pXLU3CsB6ci3HHPwGMzJD3IlMo1L9rF0BuCUUWJfVSRC5eaSbAsVokUp2vG0NvnoU4o3
ti07ZNDAEjt3DsKG0NMKBdlTHAuFtKwJRVLMb87PBgunQR0Xft832tmgBPNqIYpH4hS0kF5ueIpU
08L3rN4ncxRujXDrjOFOS+v0GObDbTJavh2NHC4zJbmqbkETzxeWq2QJRcipQBFdJ0b7ma/nhBAk
Ty4oE4BzzA1bwA4t2ggtZtcsDGHZ+RWgWHW+qFkI8bRJLIJAYgJW1EvE+RlkuKnW2kBuy1pRgqFS
RECfF+4d1p9+asjmdqgyybqurfcDSQoBmV0AQck0OmoDu9t6yJ3rfpmNXcuCFFt7dDXYOsAkqtGI
6PFeGzeoVBDIkeQifK0MW/R6rvgAOdabDMcD+r8io8osYkmmpB6F7z4uz6njoFcmdebMLA/PiqNM
w31rJsXHPBT8eHTYtl+asFhj8mIbGTL8+Un11CG5zRtNuZsMM+/ILjcGpFcgmzvKTHNA2ZwWl6RL
tE/cgM2lUjLa3LjhiRMT42zQr2IQQaH53OtL+CTQbwb1QN+y6SSb+01eTPMBUba2Qy/a7VhYWndE
HabHubP6gzmX5p0+GcauH0TzxSJNRvXZKMuPZel2X6Y8R/BbVfwYBw5P3hr3FGJjPaDVdvagxMjJ
sIzUk2XbMbFujGd66fFpIOrtnl2fcUltUe5irSDIw1Kba53P9FbkgifDuu8pEuNblSUioBOSx1gl
zRL8Ma6GiaBEQ9cH5gYmq++2ULRrblstyA1W+lQf+WaelTNqboT7WJG2NoXFxtVqZZNlK3tOYBmh
TEcFc1Er1763s0kJ3FysiTplfgVjLRDNgo0mMjmxhkjurXlIES+jOHO78gFy1kuDfGWZpbJJRvma
pkZysGvCCYZG9+Bx10SFTx9amh+H37Cta/MVMvFPUK+VI+v0+Pb/y9zzv5GNUmd4+Esb5b1MkUf8
ONH8/le+r+icP1zhrAPDP/HuNtPJP1d0joN9UrWEyuwS2sgP7kkHahX/h6vDwDDXxd6/Bpo27kmX
Vl/H6wjZgIXf//nfbECjt/L7Vqx9979/3JKtgMsfBu1wXgydZ4XlnqEqwA3zndM51GOoiIVA7jLE
wFSbEeteKa8M0OVHeyKplOigyjfgTQZjFU2PckyJqtPonWvCkn3NBT6di8Ghpm3p8Oj47xAdTuS3
Vt0VxPD4N4u2db76rz3bX5/vusj6Yf4K25q0MmfW9kAcx/1sMPKrBBM4fMJUjSoAB8i6V4BVwj+X
1D+9cz++U3iNf/PQ7zaKTDzzigpp3suIoIcFmsYl5WDbYmorg6RXSn9xiRHttWYV0pjX06qlsWo3
913bZTNGU7Ofl8LEI0gOEst7hreYVBk1s4aqePcsfbrO9DC6CsGaeNIuSaVrCnXfwgGvYMXjxntM
oUly2dQKK5uKPvY5lcq8+HM91jdlnHOGdXmPVVyNzmlrowvIyN7LKpEfc1ctr0xiIq8a0Pkf436k
ulaq8iy1TARzzhXYVF2gFl/mIVYPrF12SpeQY+/GjOdGTX00xnI62KiGd5megcybIrlNkC4njdti
YS9F/wwmUd3FhZJsWdiQZgLgMWhis8TikjyaVnjdz+Mt8ufm0I7+mCnPRlu4pw5d7HFO3A/tIpQd
wr5Tg9Lfn2NLnJMlusrzNa2cUY7vzEmzMck51UfELYNjv3Q59zMtRgG6IzlSpykbMczXkxqb2xZB
cdBDC/KUWO+O1TDhoOuptUIQ0mW4IAZp1H0TlVgOp2O4zEwkG3LT6Z8EwqAyqY+WFpqbSFfrLXvd
ySdjvN1KIut2DFGMQIwk7nJvoVib1TLghRHBJ3EWm42lfhqjJgqsaOzYAmjdzHBI3o69qx/51SDo
70/h7LL2dQRTyXh6mAYFG04+dfDSDJUJew9pdawYfSr4x6YxkE1EqhaZn4xEy/ja7bFhDLqenenb
WNwmGsZWKzw4haXuOowuBwOTsecIiPSko1QeZmHTA3O+sgH05YGGCOxyFCjlMHhDnB/I74T/jucF
fS7f5slEewoZrsR36tIMp/18GiOydCfZYb4Z8s9YNB+6tPMadCS7mjvejZ0HVXX91uqBX2a8l+aI
/YoUWmwM5D6ntW57hQ2GPRMORo6+oqAKUbS55t7k09zkBpRS86koWmbp+uzgnwBgrmd9QhgPVqIw
S9jR1jR8tpPsMH7dkReonsg356c2TqM/ZSPxCFVnn+aySu+xFCn+bNv0J8b9OiX0U2dCz4dFhHyZ
5GI5E5glmNg+XjoSW3Fd+ejXd8oIbVxQtRkWRG7BfJZxD4Pa9ICB6k6StIsrbHroJnkyySXvuvgy
1FpFi47U3h6CqX1asvrarhH02mp/F8eV8yjqVG6xygcEkr6k0Eo9gKxX2NCIAC4e4JgHYnK3dZx/
gQgddKwI/MzWBircNvYYqF7I8cXZvuCbTGpcDC6WY+16sqNjEhaCuXQNGpQcMXsbhVZRbkq9bD9r
aEB43wv1fkID2rLXvlNaXAWhBOBVuMP0ZWCnvVELdD0bdD7uS5xhBFZ5WQd41Aj2M8xdHktUcLV1
hbaaxEAPPRy4oFov9k2FtVakAqs79C+/yVPz1gkFowsk01eJWvf7TInio865SNGrPuasbVfp0nia
0UI/NC7E1AXaO6GXirobY3ITIX4xlh4LWz1jcVMPbt03dzVu25ux16u9LPGahmPCH0Rczc6LlrfL
GvUMkP+6IketEfocmFb6MBdJd8Rnxv2QGmhDlzhoKhtrMrLOTSMQUigCfqIgOhk1PLOiDi0rbi0E
CkmKQMFtW3mI1hI4URp1h/FEBrbKXMYtW/M5p4Kyw4XzLjG8fHGSfTE6iS+Qne4hsi4bRSu/2lGx
x33Y7UwLhIVCw7RvXflRZzIfGDK8taXOWD0OiT+i00SSiCx1VBLtkFdJcaFHu/th2fq9AvjxHqOo
eH+BskUVpkalhyDHfodgIm001pS01fb46G5LiVWH/MZNj//r9OsH0n5elX67qn96pHelBaS7IlYx
oOyHqIelH7pv2oL/ibaoxBxhfbYEQ4vJBFfvridvZRPG8OunoP8sI/jzKaB+MnQYhToopHfbWqcs
xqRoF+YG4JtJ0jOEgqymRe+Y2QzPGxh3stbSexTC3T5FUHoJ15MkRjnPHiOsT+7YIY1oS7Z0SXOL
3sQlzbJZsUQkcFwI34LyjgHTT4Ys2suwK/ZimtoAHieHIEyApladPa3MVyZwAFOQeHikO97yPJQA
5fPLr1/v3322P77cdyqexMiI7UhNba+YbXjXNpPuzbRWPuPOxfv1Q/0sr/r+ztoq2fX8h8Ea+Oc6
TBsZY3WAjYljs792NqaU2TQ+6ci7/Masnn/9YH/BpPIJQhP516OtBJAfqj5F0rtPZSL2phxult7U
P+iY/w/JGL1qkg6zttLupo+zmEgFsew7BYm2SAmidkjEu3ITolH4JP2Wn2Fm1dM2afvuyIQe/v+E
fkhKPsLUHFWfPbLpk3ZZ3KgksWGHb9gWEMvlCyZpm1ZXztNalNRreWJQp/z6da4v411xS8WvWWhe
HIeXu36df3iZWOAslfhObW/VmJ5SQsq9XMeinruWciMHBTNmX2fpbz7Kv/uh/vSw72pq0ZGLo5ZM
bhXD5KfRmK92qnEzN2GKjlRVjsU8XUK2kjfZWuXYY5f+5of6t0+BQwnqDDR+h33Rz688U7WprXKp
7XWJ27nlSpRme4U4NvRwCdMsVxYAEZV6U7c+cerX21+/83/zdYYc8K/Hf/fL6Ue4KVoRGfsu6z/p
rZwuXRHqx7y2+GIr0W/kTWun8P5zthwV4omqCTCq715tPEql6UospabeJmdtTEdMIZgef/2a/uY0
4P3816O8e02tjugiM0tjn3c0/iMvkPmEEXRMpH/z8f3dI60vRRWOSbf6l8OgcvtiWSx1v4QjinhH
I4rQPXDP/OYV/e3X5McHencO0H/0HdpAg9uE1bIcu+tE2GSkA0bBgNLr92nUkWcfreUxhhtagaqr
fsOn/JuW2VBVG4mnowIxonf/+bsaxtNY2zLU972dVPuFLcxDJQzCmuWk7ys4QGXlpn40sHOWw0z5
FsW1Z9c4NsEfvJAMTBYw4sZ6rS6KUxrlH6xGZ0EmxRMShPI3DbP+1y8bqeau6ZK/uT5j893XQNEw
veRLw1MDJIrwiPCUWJU74nzQ9yjL1eRaU4D6YN+3MdahUVYbmlBlK6eU8t0siLYiScZvhuJAmRoG
CQuHvKKnaQlNRmFZf62qMTqo9RqxxEYYEnONmwkcyzA7zKwU2QXVUlJbVWHNNPINxB0c/LHO4SIP
xrlt2z9LnP+R3v1GemejvGOY9MMp8Rfx3a6kpHgjWYZwvdf//I9//o3v2jvjDzIGTb7SnIQWGHW+
K9/F5PoflklyJCSkf0yd/qG908w/HM2w0A/boLl0uEz/nFVpa4gKTEckUKBcOYz+rVnVz2c0ij+e
GMMybgfTYknxHs0rbBTjZjZiVobFhZQ4xmMBMoj8oBh/WZ5Mxx/emd9Wyv94PB7QRF7P+/Huh5NF
eptaGeboxSCHGOTtVxxzUC9GVMW/fiRq0Z9uhG+PxfXFXA/lo2mb6rsboV81hzoBsQFSRiZwuWlC
AIti7cBgv7pKw2i46hc92UESKNBKNe4r3K/hpmU+fkBGgHOtVlLtqM706zS2ZDTidoyaD0aGVGwj
Hcu8WFakEeMi2s/zuJih12p2aLHjcGIkCgsGX/QC5Zuy2mYsJ9UecsJSh61uUyCfOqNRb2RGkhPy
kCWEWWwbb50Vl0wcxoT42zbrv/YTfO/IkiHeL0Y1ZZgtNzhUiE3toCvt6qEHG9V3LGEI7z7VqqsO
+9roERulsctT6e0w/MARBqdEMHXk9IwyG/2jM9tsHyPF3lVMKEqWTwnOr94daVtb3PrlRreH5mtO
i3a0UQDZEd8HbejZttjFmSD3B4DpnGUplNHjEmGvlsIsbqYpo5gTXWCE6oB6vHpW8jjxOEJvE4M4
5sK0z5CNGtZeCAxhMdSe7irNeabMJJO7H4jeQTDGFD+LQZw5WCBTMw00hZUF2oVnUhdZeE0GzAu0
GRvqf7qdwaawSJJt1rrkAacVPtkJFoHigu0o5l0aiTWCY9MK5W5GFUcX16Ipn+Idw2ID2bV7EDUT
gbTSeXhwORtVo7fA6MpQLOG/oOmDKV7u26xzvSEjYa+MWxYlBg8urBy1vsNuvie5qy8bfjpF9BKJ
9AqNauoLK/o8hmvkdougwiiUHSOC2zJtiJbkHU11mh9ESveAeSJPncSr2YdnLbUPNXt+L9PynVox
KIFqVHmi/b/sndlu29qWrl9lvwA32DdAoYAjUpRky11iJ05uiDiJ2ZOTffP055vKWrVjOWWffS7q
qi4WkKzYIkXOZswx/vH9xl1k5LNPmfhHZpch0muwUUO/M9TsWdVxDsqj9tHiL2PkXtNv8Iwtz7Hs
44tY5Jqfj3KvSJqPMeo3TjMbdxkvkyjf9YTgCU5cW7SojDvaK7AFi1C7HDPDJIDP8Ca6aXqAJkr9
WI0Z3gYGJzpjKi5Vb/5pDyIL8rm1w7zk5aHLneGiedVm7CdvS8NWTi2rMnjnUFsGRIb6QpXTiOan
JOo+z7EOhEOfOh5GDlUjUu6Rlh2XzFH91TApQCpd5OsOaN08omXOji/jKK93dqs/onThC0SAvCIu
V0zpU4R0A58CFI100fjIGDamqLG1VLm0PenKAd42wJzOmqigJXdJuXiIfahkKQVUBbIh6Bcafb3v
FU7VUefcTyrftHLK41jxHkxVPKGjr3/FYP+7ub67uWoY0bG3/fftWv+n+vGt/Fb941v14x/XeBw+
fWv/cegK/tq93HT/+qRfm65n/BMQNhsMWxo2GSdZ+69N18PiFxI6UEuPKq514m7+3cHFfuxYkqEJ
QdjBWJ2Q/C/FO71dFr0TaL9p5VH5iX+rg0t7eSbFqVrV8NhW6VRjQbZcPu3FmRRpRGfXKfrWZMKw
KrOQmgoXQzKHlSmJWhESSD4TdAt/9fInPPhI52A56jcjnclpDZLCrbogQqLkR1P6aayZtr895D/s
02engtMtusgfZFjAEyHeeHmL5PyJHPK43blYx2+U1dS3hNwGeV3vOOLlA5vz2u6GoIt1Zq7N9Pr/
ugGA5jqPyoEZ/PIGwMYIdzILQMnSVdZY59HHtoD20zTaJg12gAN0Jnp5yDnQMooEhft4+xZensB+
PQLMJVTNpP9Mdc9jlc6EkoSwudm1QwzjU3PuB9TfafNeY85ZEezvC9lcxsScTj/3sECi3vULdki7
qgbE28e9Fzq9eIQr5oW0uKf+AtWCfAxlwXGaoP1EanVUZv3OomiI3sBVtgZtwd+6zJq27ayrH4yc
DU3Oi51nze1hqOpl15aYTCuC5YxytkMqVwggCJilk0oj6hv0WwBi6FIjHuTS2F+wpDiobceulTY4
W1bsdiR2F3p91uRqiR4gxTBaS/w/NNcKzXmar+cuf9aMNd92Y/FUKWDRijbCgdL7SSnkA5jHz2+/
IRnB/evMLx8cU0J1VewTaNakr+nlGHHWSi3itEHnYkQAUOblSxbBOzehUERQZyAKUtxxmtF7J7Nx
bpHChXEbJ5qn5wnkOMvIywuXqApER5J953ZJsQVghDzAXfs9gSUKUsgkAULIEXmdbl2WCxO6QvXn
O27FCy1mfVskcYjvpof1EHMKX/M88CIqi3UzLSjgaXSUtW/EDgqOv28/s/M2MHnvNoVxj3YwQPnO
uemEOngmPKqk2HlwY4IGCdplfIqaRqyCp6He5k5f7PqoL68JPQ6joR1kfRp7arlB2odfC5A5h7V1
tB0bbmfHrukpfGngcAS6BR0A1MK+v33fr9+1adMjRNDOgmSZ53j/HmtbtR257UlpaZw2WRQA9ee/
HnRrC89vBuIzxSz0fyuzJEcZVzY5xKnY8qjWuRHSoJcRFca22EVjJ/xx8KjJAaZ4J9/zMqXw6yoS
008wzpdjwXk5pKpCgKVBhblLFqfaOS3iKrwWn955iObZoej0ZaCD6jQio1t19bMDGFaWDiC4saB4
XDxHDpJ1ejYInuLKgDghQ1pPmdhbRozGK20lT2oVz1psrncC3KJVDQn7DkGTBq/RL0kjbpM1VvdF
xyDPs0n3yW2m8Hbce8XGPxZbqmvIfe0hnQbYHjPh+4gpdaggxQQJo+pbt7Z2Kj7cvqXNup8CZQRv
wI91iaUdOd3RsDDgYu5F/L7ZuIBaVs6K+sqfAFwB35UHV0BEXlgNSrVJPOwIdb37NGPNRaqKqlPU
Z0/lmj5ZmXFXijW6iAQUK5PwGE9rwvoh8TaqV+2V2VP9AflcWNTpcxsTVw70XGBwR8gPJIEBpzG+
q7jTfURmT/bIGDTz+AE1xxqOhXePWxgjsM+5b+OuSj1lP2EJuDX0/lGrmO2TXL0hPnefhVQRmtCN
gxmeq5/TvkRDbGZ+09SFZVmHyCbD2Q6+U2A0Dea3doGroG59rVo98+Oh1D/gWkLwQBvJtb3aytYp
smct4UuPce8GZcn9xn3/AceKn3bO7jlR1I6nibK0y8I9DaLbgm7VIOiuPQUU5dHBSTkwI3By8O0w
lqT7zh9A8IasZdUOBeIT+o5qY8l2C9pbdSp+FAFLszyiNP2Yad5905Ul05DOlzxykx3Bj8HGAsip
MHg1Vdd+sFMYUqUYbggwdpFTPbVqh25hwHBFgb+39WbeZrmwWLZNZvtuYYdNUzxXXqsj+xgvAV1g
LZ0/cwrzdhRfuyA2+aLdVAI1Ma4igxHo0iMY0NFynUc1x7GGPYDeAs5iA83IkWCcwztWtguUDD/X
uBTir2fOwoxY3iy+6c8WXDxozI31aczpsK5iDqI6XXY0RcfPYMQYBAmrNdZgboDK+ojOGx4Fhy2/
WMsndObFzUAGx7dHxf1IeTiEmPZkG2q9TxYVJhvGxWpf8B0JT492xqn69GKIDK47u+23OfVo/zR2
l4lhg4gNiA/+4QDh0ieXHsCNFRt3hlt4u34pnlxUhJucEa5RpAEDx1hqV+47quYQWGO11Up7R3/i
vfAIZJJGRbcpp0DJCNM0446G1C6wRoJPxA3rVTXzsoZURhsKn1eXwti4CSPI0Hj9ncp0EXRvbXR9
TI6TStVNmyJ43C6Dtu7Tp9ONc7tEMaSwIYyxp5HzpafbGrrP5Bi8kEZr1mtBZb5wEnFVe16DJTvv
zlm8fLs2zkGzMaqwMPKAnINPUzaPx5qGFz/Loyyce06CJQuY0skFyyFFgHr0jqGLE4t8wYiJ7/Si
eawFz8Kes+fG5q6jJns6LReDkz/3M3G0izHmpspiLtBxdO3lCV/YYFhbrec4P/EQOQwQD63EU0TJ
zmakEkgpODsWMP8CWAsuRumYCdureLT0+njanWiJBDET8wRwu4sudDt7XtQougV0G2LAgWTSxvCp
7SoRWjPE+8X7UcFc2hg6I7ci6NpQI3+Ab8aSp/C5I2ttbtc8kNnatU7x1BNfyeVswclhkxT29WlR
GiyWF8BijySg2BjhTOk1ZfOmAAnrqNUu1Zgqtps9LUpKUsYg1VGMvNzTaSKRAYudGspWbjsALa9P
3xA+1rOcEiCB7uRWgAnBXS+4sdM7ELp3neLch9QBxGc+Hd04o0WnksMGQi6Ccuy1aq19BHmrHa2W
jISIC0q5DBX0ttA65UrnmiwmELLu68ViRSWThbuON9100LW20IS8TcbMpIK/8ltAWPe0akUXvXw7
KP9pN1xrwJoVZKSMeTiLdb44rcTpLAMxOy4gNZKTYI8nb7S6NNcLjL34DZs7ceewkxkLt+MF4McL
9a0ecBfHhf66psMPYqJg++lYERjDfLzcV4ycm+pk8JzbFtmlaAucdtkZERgEun1HX46weeUnsYa6
w5dFQAbjVU01g47GYuFTfGOYylyKO/JqDI+AQr7dLqORFon7xklY9TkFVbsm5gObkVPBaf0t5OoY
odcG2aYZGwUC5r7Jun4r9zhADAZgDka1NTCBnDU/2uh6UfCx3GRCy4NTOIzXPRbECNavlKhYHtAi
A6igzQ6ZMsGVOudPp7FS9eVT5ibP1TrfR2q2sGG0pJBGHrXcbSKPdTHvmQJR2+dXs2MjV1ew6TLH
gk7LHjyqpdPhOYiqCaGjxrzbNr2epP0r4gLic8sJAV0m+wLj54DtpLlmlWwuUzPpD+ZEzghQqr2Z
jWQOBm31wnyY3C3iZEyeGhpF6m5aJvTUFoIzscZPCKvJLRqamYajRmdU76Z0yzpgktI5fa6b+jFq
qz6cOVl9V7x8/WjA0b9UKyh8seg/ZlUT7zjnpIFO08ojpXMkieVSEREb4IrAtQeGsap7cJGhtXJM
wpZShgZirA80ODi32lD2+CIvtF9OEpi+NPXBlQe4PCFObtb22tASE73yTFrZi58GpcDh2wGnRD3J
oMUEv40c8MTl2jKdRMViL495tSPyINGQLrG9d6EFsWLvKWVznVoFRrqSHz7VBSlPs1T9Trb3zgU2
DKMA3ZAgIN9AtY+kQpvWMQK2frTERmuqAuQ/4kSKfYfeax4Lr3SAFYt1Mxo2nHYDWit9ht1OaLSB
pSQBuTywJMjNkcRx8NkrLHuasYewHawLcudf4yKefuZ9m+zLxo1ogIponNHt7+hQqDAs30HIcYrU
UAEkigp21UXQrTQ9Bgs6/clZXqVkZum2jsyaTk+alWzE3MZeyUgiG5Ckt2NMl5Vq32Lh7lPvJUxU
UfThY7Gl//o7mqgrVGaXKe5TDMLpQVOni9ZGV+mmpWApV34Km8HnwKhHF6bpUNiUb1bPqps1cC77
1byL0f1jDavSn2jkQYUpB4TSoQNoqCn7Jk1og5yxEnHlyWfFfnmjrixL6ZA+a3PthYnE8WoRK01d
JcuD0ZuNfMMrnXjsQGZlR88TeE0filTxqWoG89Jc1cdR8l4UrXvEKoSQKm9aAOqeyfKGZxjUVBpq
a4LghEa/kD6k9qByhssRUNFecVrHTSU/yixwE7M4qJrVbxV4p7tBtPyWPNEjAGU5MJimriCQqVTt
zphdGlSqFFVgybit5RDlwLwzp+nJGwd3l9MQnbiMmIheqo1Swf+m4/JZ3qdMeWtkH3adrXEsZLfe
eITZg5Y85Vb9qOYYIYyWetetwO97FWbylHTzxamslKrOgDIpvqW79ygW7SsHyCYEe9BedqrePgxK
/iVjT4sBwjT64l3AVjc2sBzyq2ziblyiKnpre6JruZyufble5Th5k4fvRThZ7j0p5yexlEcCjPl2
deaWKNC4Ei1xjaJ5UBFTm3Oji8ZQn+gRnfED1zG90ql+9XrBd4X0dY2lfHKrtpr4kqo8+4oweSsz
80Ab2ktRMBoAKtQEWDzTspA6F9NxgeFW7WWspNN92dDu2rcMN10mr9IYwR/8fH+RufCoI87Jm2S+
VhRDHza2JxdpCfEZR0Hs3fXo/CZiTH0dYUamGfD+tt4XsbaLVAxqaXN4rpTkOWa3b1v2IShq13i6
q7TzsKP3M4cwGe40cqzGDJPryETOGxMTcLjWt5mxKDTOcAFT7pnVUhflRp5a1pkEkWNbeTDE7WNN
o7A/TsN0EwumFLoLXnbVVzvE1NHFQmZSet/MNznteh+aAZp5qWpbJab4MzuYOxSc6EHcMibRZlTH
dKTEgvLRBVHuaccY5DVOBYxhYNLr19Jwkh9tOtNtiR6QDAhGn149xP6gMJq8BcxkMXV8Sls+A/tX
n8porI4Fu95p9HPepG8xSy84rD6ThOBbFfYHF6a97el3WElw1IvYuTJBwyCJKstcaQuMvfGKTj8S
m7ncA2VRZqih3IAvl4tCLO5aDAPYzDzhI77IfF1NaApnGSMZmW9Lh6Y3iAgXClYArLjictHXdWs2
XH4pXOJVk9eRKvpN0Y54n5pUDpVk0mgLJSvFaGeLG3hFY2XenfZeb2aeJmZ0//bB3/pTegGyiI6i
xLFVVZqA/y6DGjPoqXG25DsI0xzEDRK2YNcfG0FSEOLCGq6KRo1t4C33Kx2miV4OLDXik9V8dhtx
r7qpxhzmoCvDjMFRla3tOPf5GN+q+rz6YKCUPerkAZ4hDBYxjbc25L5Ad3sC4D5+OCUyT2ck6uE/
0r5Mnu0Zp0qrt+8gHuC4pvTaUbeX+cIWc3kEFEpAN8qg1OEMBBY35byUI/fsLWIvBb3D6RA2QBD7
MLgAasFqVF1D7xA9gYwoWR/kzBtYsRsdck2b//0UORUBxJ50ksDAAe728pFmRZqUMTMFXDVHDteZ
oouOeu3e1gm6kOx+Sk8LL3l8SrRMN4120XdS1H9IirkexQxIwFDlyOe+vAXYaY2V6vmwyxyQtuCN
kz3uHexCdoOJsJKBhLVp8x2L1HgnXaXpfPTL3KvJ8R1dGaabwIDO6WbMbIhcuTfs3AayusWiji+W
on1IJ7sMzFWIrwNqz22kroimrey2Hsvxoyf03WLM2uPbo/t1PQWuFZALx3Adh+F9lgce9EEVsDPy
HZQfZSsTBtCkCaE76sCtBZw+ZnV9+5LyyZ5/fXRmIP8c0s+/Glt+kxUaFRA52DzDrosMd1s0WAM1
MX/SCvrHunak0KpMAa2sBa0tY7l/++p/mM3UCUjQokA6lbJevveSh0rPstLvGpdgLCeh41ccKN4Z
4X94rGSZdeBMLnnPV2UqdlOdLicLZ1MtNf1hRaLYZvNXCvHXnVd8WXqwq29/L+1PX8yQLVrktzWy
+3LU/fZYocPGhCVlv4vTrLtE++uFKUKJA0sCqZzJvaeZFwmpSvZMltbLuVh246wJ0PwNzeBj+mP9
N/11ZcZU1hFRykgR5avBRctlm3qqYI7l2ddaWMvPX8FvnhHjFXNz/c4jeF12AlflYNJMtxpGf85Z
InjQHcWO4EPs3NS5bgELBpUC578GI4v3JRuwNtrf0KA8CEA5heo8tCm+kWM6XQE1+tG7Ez3iVrq+
o9CTVdmzAW9ZtJwgWGLkQQo6LwhC7l5iJ4bH7I3kaQqCZ7thqcGXjC1T1w9D3RwTkmSfjV6IsKt5
RUoCgkKKBrR2JjFFHIfoVNdBLlZoKmzjegL1sOmz7Lvd7a2ePpHVJATpnYOB1oHeo+chTuiMjocM
XmKM1wGZGgcun99X1JZk1RFODl0xapH5ZtnTdW7Is7Wq6hsQ24jh8Efh0ZDKkmW708YGPaM9vP3K
zkmPDBFZSbbg1yDZQrd99mw8bZwxB1fFLsaFHNE2BltOTy90MWE1I5ymx3YHFvzcl/CMRyjm8muS
WsWbA4utxXVI1UbsdNgb5hdCHZSthRZkO8q4ecVfJuzKeL2SVJFN65IJjct317OTwvLlguaglsI/
14CGosKfeDnzyGWwzrcEmwSlcO49VwnIqU1oH1pIKSgcE7s84u3abrXMwXi2SPFVpTfw7Uf5evDT
oOkxvHQq9yrkzJd3QduEIaDvw9Na2gt94sFI1UtajfY7F9JfrzSUDhFG06+B8NQ5X2moguAsVsCk
jiqyghlxj7bka9g4ffVcrOh7HIesVCqzyw1Exg2AZG6GLl8f3XwcTCLBaiJ+SifqTU7JeS/nCHgS
4dTyzFhxeCe/faThisRpQRpOiTi7vP20/vTSKOBRALUcFZHweeW44uSqa1iL7ZKu1AK9MNMN7d3C
LzuiTtremq0xDT/keekknhma5Hkp3XdWrDMNoRz9yCKoJxq0zr7eJrDQ6ByhaWKnmvVPw1san8dA
BrlADDUt711Nf13BcmSbjUfd16BTwj2PeWqtd5E0CuqXePvmol4CWZZcOz32PS22SOASUNP9xBbh
mvFNudaPNZyhK7skuDfV+EkAwroqsLrfjxy8N7mZczIvOdkrUTdeZcZ08/Zrer2PcscgYAmIbVb0
cyFBa81O2c1MLaxoEAl3OJkp+KTRRcn5iVQ2CjK1eKdo+YeAn6sxIujQQaBMx8/LmVQQOkx1QwM+
LHiGcG2YHMRnej9rc6ZrsiefCkqDE+1w6EhPXXoGiUqZMyTfrmxLHfJRWpFCiCgUBT1UMBKhBkQM
oFNhQzQrDI6YCarGwLD6R30l3jrlRCqNg5NO+TnsHbmapRb5Wll+MfUhvcs5UflwwZO9uSIyj3O6
8JB9PxSIriCHUdQTuMdtVooOYeLIYD6avJ0lK5QIPe9OrNtTbaMuaOek5vZdnoTttOdys0qFIvpq
KNCocCWZ4IEzDN9+lX9cNkCoIuChJgyW+CzUFC4u763JshEvfXJLdwlJAY4voQ5WZENiuWYP5JCL
vvGJtDnZbIsXXU0NDnH4fm0rGzigs5AjOq31MAkojS4pzbFmJ6yg7/Uvp9KmKUAcelRrL7BCNa4x
bnqv3vw6gEUbS3SBmokeA/XcpL2NTUqwrdPtKofNeJhpMiodOSXMZLyMW6/0PXctv5hu5ARoQfN3
9kzz9foLI9sB5WESsGvauYTCc+fcm+aq3qkw3oJab+dbLSff7xZkwo3GMz9Vwir91Ehy0DnMkdxk
h5xh77Mo8ycrr7BGVJ0SYhfDlL2LipJDAchezK+qNlzkS/2o0Bbon+oPpDY0hTxfhBFkEiXIJIWs
Blgk2TOSkju1lDm+WaZzV5Hetc1kflILCz68d2xHHIwsG/IdiHiy9rH3zH8UPQpF/YmOudhVLgKb
3KHc+M5wex11uTrRtwsGkuOWZcun+Fs8PFKrq7IJW6yGIsWpQFCasiSsURESKdNw7YtpE+frYVZz
FR4IEUOUfqJ4ICRvkhSliqhWtJ7hs1vfFXJ9a+x7E18g6uLiS0VFP4gXahEOBJnd23f/et1zdZuI
gnkP8PPVGWnoFdGhggUW6po7LaK+KJeKfCEdecpGgXh5Z9WTEr0XUarDmCI+5VBmEsmwMb18XjS6
RkubcxIktS02i+hlvwjb8akW051e70BRaGR9QcmBaASPKOqcPX3WBo0w27Zp862FmGWDVOO9xeN8
ozzdHMRcg/kmVUPy3397mfbiZtgtVfkuTRpydC33sBBGDLLKWsin8vbj/8Pl5BRHqWRA9NJfbTv0
6tGUXOe7yZKjFg3rohBQmR1jh7PjeyfiE3j+9wjSYY1jRUHRiZBN4+T48usl7Ui1sU2TXZLADPNS
+lASs3WCGcASpSaoRFNORJJKXTQMDmufWlO0By8FAao2nc+TWXq32TjQ1j7cdHSRbzFMw39jGpvt
xBwNyK50l4Urqp03LfZG9FV6rIwMBfVYUt1ce1B/KR+ejq0ta9d3KenwQzaA6q6zrgmUWi+DzHXF
njOMmfhKnU6BGVsY7hk4d8/RFJKRbLZt3Ji7ki7bC7QcChWV/AZLKnytkYPtaLTnGSIopzNayaAD
5vFNxTk5XEENBEXlwtdK+AcoS0+aIJmqTc0Ags/Vw7IA8+0knNQiiQfAy0wnI4gh2AZ/XQq/eWlc
IFC10IHlXhbYZVOFlTBB4mQt5qKlWeVkySJjZzgNAJ6Ue1BEFJPf/Sh68yZOUj1QyA5fuvQgkf5Z
ta804Rm73smtdyaa8XqiuQRhcDQ4ECPDowvlxVj2ZL+EUrDLo6Bw96dzj1GgGqk6lco2sVSml+qN
aPAIjcRk+gbIpS1mWLxAkI8BfRB4M2ZA2eB1OBi1Fsn3Qs8MDJUamzYLiEm0pZrbRaH522WBRDvf
ViFFBNOXWYnQNVblfqkn8+jJj8/q/qZP9HvLQW0yzdDBPAsv3KEt6R7OOvedhNP55oXsjwnFDCaO
YaFRz4Y6K6cGaAzr7KSF1ZostAwY78ze88XzdAkHhaHlqfQfn3evcAqzSATELoKBDBfTkfQr3nEc
MwRePF0P5mxRYFq/vWScBwVclLWTviIy7HLZOFuhAKXaGbaTTtjUeNNR/GqB2qoNZTf6B1yDkp5i
WN2hbtXIN3uAqW9fXjuP7fG0kAGyTgBPPpWMy8tRtTQlzrJl7YSDLbDOmbOOt43xUZbJC2IaeBBe
7+5Y7e5JO+S7wrTHh7fv4aSAe7GMyXsgRQ5bCCq6554Fzkyb1tFbxQ4zO1eCcWm6fWlChlpxvlg3
7YgBWlqq3bdZXaNrHqR5jWN8FFS97sLJdNYAqCrttpOZhXBW3Ue103mUTUd0l4iwpNX9A5TCDpyJ
w9fpE+fYYEtzdMTUfNJjVAnYAkGLnbz+1nDgwiWjUrwTfFk6z/HFdySAJWVKXxkd/AZ789lzTnvb
bNhCw4FZdZyMdg5VEWu+N9bjxelLeHR+3+KS5By7hH+g8Bj53orDcoFfFKRtcw0MchG+kUTx3osT
N4BWrDCv1Q7Ehf4s0GLsFfix/gCtLkhj4y7XS2Mr2nS8WNcEzgTQRxQAK3YVoECpagOOsLIMNYcN
583uVxQ+tayxV0pYCn0NWkmNAeoS5m3TXc/8ZijsEYlFEn9YFEuhd2QqbpdVfFrbzGARGi6sif6o
1cQBKW6S8UpPnf5Rqasfbw8Z49VOy+MkCY+m0iEVTF/ey8cpPC+CYYZAI85bcieD0vrgWI9pPH0s
oa+ARzA1eBwaVkQ2YHKdjJefWcLd5zATNkpK9iqnvgwVhGmWVWNyCUNG/dbQBEN52Vsv+RT7OEr3
7xkjkD2JJGw248TegSb/vmYCMFsWQZPrkexZfWeGjd5UiPr01lfs+tNQLEOILxd82AlgyNq+F9mY
r1YroAWcNkkbWS4TWDsbUBm9kTbpFCvURjZvlx6Fr/o8UQTjxmmLG7C1GGq33/V4fWGKWQKQWZvk
UsswBV5MjH6zBOR+WdTlQxpLeUfKtMtBpUDSszIA+ZNgYNqxEgCzWwO1ZYwsmFL5WgqCeVBdbbu0
ww5DZg0tgflxGo1HU9GKzeI5H6Mk/cFZZwDu1A6XWKk5+xjRxhWWIO5tTzy5TQoXU5ux4DheJSIo
p7nf2eQGdiYlv5DCJAN95JKzVxjbtwfPn8YOlQuTpDfrzqugcJnThBolY4e+8me6DdxbOVdaeqqA
itOi+PbVnFc7F55BloFCjUwuraXnYuZyIFelDj0rLHKqIKMO/YiwLLkUK0YK6orNmqFG2XVi98ml
7rYseC3hlzbx0OexIYIH/ehTTfw8etERE7WraLXgoqLyme2LJc7qoFmY12OG5JWfBQZsrwHGmpHf
Zmwf+sRsJmx/rrtmvdNrxHxaA4xaq+tuT6uYRuVwro5Zp9pbHATjMEES/zCNRfuBgn8UaHoyYm6Q
4sCio9PITY0Ul702WzwdxyvEXN6BiuxdT3/M3oNES7XSG6D4VM6xpbvialJZljuR5/hTcztUTAsZ
iI8P1sLY6ka2GSUZ3dK3dCeDMdkzC3sF/Kdaq3hGVupXI8IHFREz5ewEwG7otSVp5zFWwoYHuUkc
zd4m5IKIQJkQ6zsb9B9GC4OEXIzUo8td8uVK09k2ROsYVaxLoyJrCM+vhYHmrzVeZo7FhHh7vLy+
HlVFFOmEWBzUrfNTup3jTaastYUzXkkAIpgNyOa8A5ojwOwrsNO3r6e9Diw5tp2YERx4KeZ58o5+
OyS5yNsaXKTNEB2TsU0XlKGa5trHtKQQVa1qcjl7JoxZvLpFPbT7tmO5sIFgbeuSye9MFaWAyYl8
jJ0zyFxsVOrIq1Zrs0WUoPU70fBVUrtuP5Qdy7VVyc3dilp2nrS4tar62yKXkRhDQBTXDDpbK76h
X2y22FGxvNepgsmCod1Dm+gOgGmvijHJQ6oMzw0AoGCdrOfcKb7pCfeuqP0cLm60XpLX0rfaMJNY
qdt7+HOsVAor/2lrFTmhVktP6COKMgNYJYJ7DZEvGhFmk4df8C5hCGIZW6iXU2/2u9qWu2mZIwYX
xCU5Ror+UGJUq8q5uuisH205LJgYsL7lI+N8bRjiedt2e1Tx7D05y26Xi+ZTmuZAySr2zKLlhoRD
syUZlzXwlIQqwALc5de/Fox3kBBKCOSH03yNMiQY9AlTA6QFm0XuulmidwczzR0mC8tFqk3EA/28
8hDn7pD0qnulNRTwh4K/en3s7juHGVol/Ah2XkpQRR5QmRrxN5rvftfGXXudaqiIAMHX7At8TQWS
/fWorGsgRq3bYuNo7+hRoo+3THl2heXuitV+sBfne4leFydkUz8wO0cw7LmxZQVjFFuLu8Pnj5Al
JYw+TXfP5vGhNOUKCruA8Ih0cLSmiO4ZPYd2XsdptP+P9X3KC32vKYWkMbLe//yPvy4sCQUv/rI9
wQnuhp/t8uFnNxT93zRL+ZP/r//4F+LgnZZODZ4Ax0Jm7X/f03mVrnX77QXc81+/9l8NnCbVXyqh
7Iv/gnvK7k04PobJyuAaOpPsv+yKdPOfYDcphQBGUOnhlgCYv/2KtH8S0dscpFjG+F1YKn8/gNtf
UfGbeE8Zzf0ePNMJSmcRVAiICRzMToeY31aoGasVlLfluK9Gs96QhxRkWJpy12batcFydEij8QtE
jxmV/vBTj+zoKrZQ9P72yP66rd+ZY7iH/eE+dPoYLFkspvZ4FnMZXoxNdx2BAcw7IOcYlppGTuuo
bw9sTZdms2/s2wgZ85CiK1usjkJpHF1lydxvmta4HxraDXSA+Z/W9NpQq0sjo3SUuj3mywi8J9u5
FBoWpxMxtmn1d8uAt0oE6MtCRBmow8MEaGeh5RDf0W1Wdre4Wd9MOXIfQ2ATZ4cw8fEmim+UTJR0
ueb3Q2q02w7DW9PJ6wAZoB1Y9jjjAQ8icjtzoWBwSRRs6vSx68Q95OgwjxZ6fIxbaEKy7StPNjzY
zjD6x8SecrA0qxo6mBzXMxFyVWqhhYvGol/VSh3aOBCN7mclXz/gFPiRDsoLOmr2VE0uqqSilyBG
89Z8nGfrCz182JnM+TXn02FjxpgwzWbt7g3A2+Thr1t3vbBn6yc+13tX/Qru78GJuXzvXLVW+8GO
tB3Mp602K8Gk681Gd7gNhGf+MuRb2aRRF+OPtDHs/bAaGrke+1n31ujQWXqC3Y1R7pt8aILZWS97
bbpSXNLRqNGKzaTpvrHYH7HQOLTqB7xofPIxNiXk6WMzx7fs2yFl2oynhcl8US1bxI29PV3gRPFQ
IhDaqIrJqvaxqeZn4NeHuVO/rKiFFlLbm2QSj+BpwsVKL/XGsMg2xEEZ1SjpvIeTC7xFD5dhkvEi
045ea7uo43WsRI+RWC9H2/jAKZYTqzM8aAa7hgbDHndZdcSLYGYjHuKgntdpo/UWJzLMbvKoCLy5
/5oZmNybHPLUuXh0GJpNYj9wrlYx/q5+1E2LpUxS4hSOLbGO2KzM+u9qDyQuUiFowSPs7WrraJNv
jcnnrNTuzfKz07brTUb29/O4lpddbt5F8zju3GUC8Qkz9GDqkMrH/JLmocBuqj3Wd4/2EP3MlfoK
jy5hPXQmzGsNXwJax9Q7XQIElGk9iDj7bGrVtB8Apo/oQtfIOY5zE6D/CkfLuDGXu9YVV1Tj/K5N
wNGaS300PWLaAc76YCe3/RxhNpD1e46PqADAyFNfs/K9m9yOsXYETO233qGrIBfSmrthObhNZR8c
3c+fBa2lK3S/aE232VQV5Pa09qrxtJaZg994ahvbBcZp59LlVrhhk99yXvMnod2BeQViboaFun5S
3XI/wjtr+2TaUBz7DAPON5Vix9BwQKbr5cGoB5PgVh38aLSv60G7SHSsmPT1IR11K2gG50tKX6yf
pxYtLxbNbAZZjvkGDfsOIadfra5zCc12y3n7uz2at1qUyemk33jqgHVXb91gLH+g9vO1yptDOlg/
6hwiC4cBMqw0COh1GeZFtbcqdToWZFjD2qHggQT9g9wD/TVSb2K0gNtKu20xYlQ7lSePECRWlYMr
0iss9qbAphGMqscYmgu6csW2bq02ugNyAnmsEvepW+1GjAj81EoAeHXiqba8wFzsTyXsY5v/EehZ
DlAEfeoy10Rd7YODAcD/Ze88miNX2iv9i3ADLmE2swDKF4tFFj03iGYbJLw3iV8/D1pX892rkUb6
NoqYCK27SXYXgczXnPMcpK8fgyrqgzQGSZ3kvS6TenKnKd7MPv6Hngy1KBiL9lnX/OtiNR99Lj7N
3tyRcnanq+GjUdlbptxi39f8P9DtKK3atqPaLm5i3pSt3XyPj6eg2PRc4isHRD8DjpKgQRFPc9Gm
B9ebjpPu4TW29ktb/7KyYl8O6TeimZJgUtGxrKV5aSLe/BKLVWg03k8mF6+zoIhi9rrFY7xrrFXP
auO4K1Y+R2eUB2/xv5kDYtym83n+eh2sn9RDM9VezMq6W812W96wexIk3xoSmZTLiNAuhjLUi+5b
mrm8GIVBatz0QW/4gI/iWZu8O33s7xcTTX+XupjHsZyYVXxcYvsn5agISEPIN0bS3S18rFoUXbJx
2rXkAQY26UXUlHRXmgZ3X7as9ts52hK5d+bVO/bGQFSDrT209Yh8V8ZwYlLtYuskNiRx8qOtahj/
+Q2nHQYuLX6Ep7MHMtaioeGTzLat40Jtt47VYp+mbqL4PTmyDzOE4YcKhIiOxNkRH4OVvURFB7+X
BDE1BHQYYVNxCOlVtOtltK9bZ1NXn7Ir7wvffRtb4zjn/qbP7fPU9YdprHeRVW4M5gshE8ejnswR
2dJ9kLlPTTRtcLIcVHLfVP2bKliSTPkBNxDeR+OdUu5qTiOTEJ/QVn+f9BHWmS46LJpcG/L22Yn6
b202RIG0YeQ47ZtHWKrIUZRjDi198zDlA8DXu3mxNlg1yQcp20dtsS5q5uQiGy2A5LgGkbgPYpY/
a3WOR3dbufpVzr/AQN8z/t+l0Exb3fpFBU67DTd4yI0z9RvS8ORXYpY/ZGxfLae/t5z2kGTxM8yk
rT4AQRKt/+6lmFyGXz2VeKM4Oosy7ER7L5qZl7B65xV5bZQ4ufknYXwfBK19xuxPuiy9G/ThSjhU
aCEmI69NXpgNvmHFe2yJt3EBDgxYA1VdXBtRfBbxGm6r2V++29xDKjpUs7q4cVJAVrLC1DcOhdUx
Uxm+DcvwjkVqm4sF0mj6nXnYV2Gps9QwR0Swp02GThWIZayJHapKkh67MCWTKXmC+W1xKEj2RhzL
A8NewkTsftj2c7GfrMuSesfJzK+6n/wcvXFrwSfAU8v9WTFRmlHnw6iTmX7BOQTO12/uYjt7bEsH
25BzG4oxlOjGkqL/kJeSZNzuJUU6YTXaru7S+5qZKg0VcKaRHW9CVKC2mNtS8t9KH5g8lwP5efN0
qIruB8Kls0yyw7z6aFvzziZ4AStkfiTViu45P9szKybXeW3n9gsYcLTtbbvAECiRfGsd+/WewIu0
eJmBLzxOi2+ERMYge9d1CpuqQsgyknsHHyqDVJT1IKNKWzwQ2/JBM/jdjIY3KBB7xKJF4Nrta5tB
cp5S4h/bLQ6m0IH3Hc8UM8vz2LMH4+DFNBxaorg1NdK9qNsrQ2zdUQvN+DJOAvu0nO8YtYKoqEJ/
+pXLIkRS0jc4RNgcRn1yTbsTkUIbJ3fD+TYvcld1aKHLaxNhntTQGECaldwfCX35cBu4ijaKoWo6
7Rf/JXbNt3jSb8mgcx54+yR+zpKVjiQOQ2I/LKx76na4m/XicTQeCosHCOPWknxqugzmxsiCahCB
Sr+mqT8AG7pL6jbG3jSfZr9DPN84v/zyVfJuqio+MdzDZlQdIp9Gom6QuQKNV3GQe88OuibP7r8l
ODbQbwwbEelJ4FE/DJr7lvVWBaDjtSGdcGm042CeEeth0OLIsilJibc7NYXzZBTPoyDeSNlTOHRZ
g/8VeRKHdfES6+TWA3JKTj5b4QGSPqVltwBeLrNL7Tk4qYQEqY2y4hhFFp4/vfX7dzFl1WvTw8pe
EvLqxrxXv8q+9x78lLa+zazxxzhV2RY9lb4XIqV3WJwIqNbghaYn5m0lhP7dKXP56FmFc9abmDg9
Dvvi4Jt19lqxbdvCvPJvy2jxSWq9/Cyohg85+1HA9/T92x4fygl1ojmEUs+ILyQ0piRv7mi4Kj64
ra3/5Ed63xnSLV9aAT+zEKrHNJMaTxVMSFjhcX/1JPJCvST8Tdfc9ol+j/qYwmwOxrbsHpsis56h
8M2h5rOpV6mcjmi1iJgb7fg4aMrcudisH0hzmTeRMjxytjUzw8+JI3uo6uZSVmm85a6pw1n4y1HD
fXUxSzc6MYHuTv7gQvJh0wSmoPX53CHJX3pW62Fpqkvlmfi5Y6WnT4zM3Ve91dX3mjTzc9o70S52
lvhqz0v1AWTDv0+tsnmh0eH98bq4+PJSZ3jXcktMAaVxerXHXjwLP5U3qBPqsZv8+t6YWnEb7XS+
tpUvz8p+HRMRdN7Y7v2ln29RZdgvmm2TilkmyvwQnjbtZhJYEfbP+WM7ugMuzgWWGxfmJyl97qGo
Bo9x/jx/pe1SPgz51D8ITNTXfDDSY5FANWAEvm4tEpJlK2/YGYo0hJi6PnCsmp3vuJCSE5lGWNlp
sfdlXO+LtcEuMwW4XMYR4958YmhmSfFmIQwOZ46nz1TkJqCSwTrYhO+emQopzpQS/l6ePFTz5ywH
IP1ShGOfq6uJnywmNlSNTx1PpjKSTaeKfQWodjM0y3cBB4+OtxtQ/kTjc6Q5L165XIkR+3CS/EBI
z1Gi8rEXUO12nxw0Zz43SUqW7ATFzBWhppPsZMOeE4r7V3ffJ605jiqFLGHYAAa5zMz0m43KRDGs
Za+661Hh4XucuBhsMSNuh9B778W2vi+j9m02q2eztI+J7t3n9oDxcgnlmjhYDfsxYy7dvhpG729r
rXtnrSYDFSdUlIXzPNrjS0R0Tq2Y/WmcRInMgO9pR+B/bGji8VgbDZmqEJAPRblulhfzqrwhQLeV
k9NQbv1GXppk6lBPUJR3SYLO296Nbb8rO83c1NtueBvQZ/dVdyalIMAVtYvz8ldddv/JUhYd9d+G
HSzZBbIZZMkOKmRm0f6/UcXjWqdiEs50cPI32vzkvMzDfCUhzcTSl6uT7pTN/VzFyyPnk7xNxDI8
G1jbri15dlPQOeVIPNFYfLm/X5VsfWvU+v6I9U2S6zuVrW9Xs75nxu83bn33qiXOniYL5HlQ8WoO
6zvqrW8rEr7llK9vcPT7ZZ5jq4ORk2mnOOJdV+tb763vP47seEuSUnMp/M7f46WzsgCmlXdMo0xt
SszjDyzWzF29ni3GespAi5iOccTJo/fRHDb2ZD27QnEuGR31eSxl/6SnVfekV11BhK3Tnuql7a/x
QjfmryedGTEsRxWr83FxDor1RNTIf/9prqdkq/rkKOsq8OtGbrPfh+mwnqtaEmPX+33YgvshCibz
5GdZU2fUuvJvdpr5Wwk8+3W0JA3DNHF863Jyzo2a5KPtV8b3yNfmbYFw06pTLvnfl0A1EEA1rTdD
t94R0XpbVOu9AWNR/dLXu6RdbxXmOdWrsd40iFy4dPhtVscYcsO2We8kb72duvWeYgUjj/Nc3VXr
HSbX24yE5JckSsw48JZu+cGQ8AwDySfUwjS616kt9HdPDT2aMJCbb0q4DLUKkr8/JpAjvDUWiQl1
zAAq49ncDs5YYf2mgDNRcgbWXN67XV4SQC0TVCymvK9HnjwLI3hN03ZwNOmj5m/d6JtdCKAyrAYW
mpuqN3ad0N0WVe3vnwhrswjdwutc7mlQmjxMpSSIoqpywjBT55tH9Nq5SDkk9g7BByQqGzaVAkvL
klRF4ra+LL1+HK2crUeN8LfZEeJMXUK3EA7wShl4FQho095lqibqeTs2zU3SbR4mzf5oS0Y5gz7S
SSzUlQuPr8oBncZq3vpa9JymzXPey2KrTWm7WaMG73HzIcqkYf9JE/Omwca+WIPvb7vafiHvkQpI
M62tXowZJ6z0IPjE+c2bHO3Og3a85aKHJqRnybNLtlHAAiU9Scd5Toz02cNOfU4bPzuULmX2UOin
2DLgDo1yljtnHil6ehzu+NE/E0NnVmIkv4j+ImuiWcggZWIG21XdEd+iB1PBX594MEICxt/FYFQn
8natXenMNtv1ytw3Km83CCeJ8V7svScrDEPlRPALoJcdw1TGKnr7LR/0R+pCcpiduQmoPl7qan5F
OVY+TeQvXU0vl3t7GEYPN22G3Net5SbPUDnCcCPbUiPu0kqdeue5yxJ49tjtRpN3rfKYa0ZdRQcW
K5cE+u5zKkf3qIwseU+W8lMYxGQUom73ucumnCRc2HdLPvBYJWRoF8UctgYhSX1NXt+arheuXBji
VYS9hgkXlBa1Tjv/IDCjASGjYlKSll96UfVaRT2/YUXXiivYCTt/fObrxDG2RM61i7D/pfMcMuB7
ERGc5OsHUuuTSxW5PwxEnM9kkSw8BRwoWlH+oIv5BTT+meUI0hAjcddoH/u+rlg6VQ6fXe7LH0hv
RZDDVQmypis2VAVQDFXypZT5PuUfukgvCPl5IgBBqNJ9WIyK0Jas/OV0y00ZlUMpPGDYznss8Zrn
moAfkvi+a81xY6UcjoZO4zGWHpcVu72nEZb6C66yju7V+D5XurUVTfri4sAzUB9uNdbRdMZ1GwDt
lXexa52VO0lmybxf0EuJrdcoBxhI3wM/JGxlcKvmkPTAHdDyyUM8xct76q1NZmyRZz7jfSX/Fs10
mPbj8hklWbGxfHSF7pBroS0Yerl9Wn8DIGsdY83Rz3Ly02Pe2901qtz+YcSP/CAibf6KOH/IhG/c
w7xWVONaWzVrlWWt9db0u/JaazBTwxulTZUGNHatzjhx7RfAc/OtXYu3gU/895bhv21D9dcF1f/6
/yif7s99FDKX/3iN9dwm9dB++yuG9B9f9ucay/zDglm37tB/W2X/ssky/mB3hEiWra9jkFTHuupP
DimbLCHWdRXiM1JALPMvmyyT2Dtft7FaeMTV6agC/4lNFrqcv1VVrreSUG0wn2zHsHn6+vrnf1ll
1WWmaeS9DbD/bcWgkUacmd2hGIs8ABb0jj4uDsZZ5qHo4NssVf9zNs03NLTvwOj1W9SgmxHN9KMn
+RkUTLEOQpxho2mExs59Uz5ltd6dV+v5egCWm4WFLYvo9BF9H2JWCFIHakmO0ri+h3KCsjFRktJY
vFcUJ0RCq1tFS1fUsPwV8tc8FlhdAaXB3tBIPrbuLWxGgai05hOpCAMn9kkHTmKHEY4V8VPj8TNh
PYaI4Y7l9kg06gTnpHDiB7YYPoHDuLL0hsbbsNKSIG6OhR5W9anWaudOlhGK6dq1i1Xtr14jn9lW
kn2bMBBkDBbh8fcKZx7yni29DxBvJAmhHBgTpqY93CCZ7bM2s+9q1t8kOolht0Sqgjbua1nQGOh+
AndQZBSlwhh+GYN/36nY2Rqt5T7aCE9Dv5Zb2XTZXoHCQbbdlBc3raDMzV30ZTFCPTiUHSfZmfUG
URQpUJPvHjOwFSfYmM5X76jPdvZlaFGCrrb8LjR9UHJ1adVfg+Nrl8gZSYOaaMGSfko3Sy7sy5K1
w04U1c/U6Kc9TbB7bfUUGXeMpGtIDZPDt/IYlbr2NpNQYCa/aZk6zObNo/oivBjbBWLvK9PH7N2q
1Lvt1RL+BZHs3XpbF51+Z6/3d13ZEokBd3rGpZKUXnZwK//TX+99Z+SvY3BQcjcZbr8dKRCqtVLg
bwGvqVt5Ttz8mYXEs7vWFd5aYRTxnDx3EUQz4kepOFHSYXmgJiEyzqNMpE5ZMt/aTmvt0lPEuBY2
dZdZ9GVImzeeV//nvNY8+lr9LGZF3PRaEY11RzsYYUCet041Q8ugeErXKmpc6ykWNyuuxf7Iy1k/
pH13M9bqK1vrMCe1ul0xVP2rHo8A9BzvNir/GTTKQ2nRbtLx0J5K2wm6kbFS4I+AW+e5W5e1ltm0
+wI327GM2AdRqbX1g+3M9dYQmraRbZZffRBz28pmwUXaS71zeAavcd+NJ4KXEqRu6JNzKTnO/G6/
kN2xGvMl82XSlFG7pDcSmr09VS0UbNG9GnE3PxV+wYiKdfvB6OMy7G0Hlk5q7rNkLF7zFFA3vypC
tYQamWOnPfiXQYs+mLmP2ygzmzsAmfFpURNZL9HI/jowRGtuhqj9WdUtuH3KXqaR9F9OYc+PDAJJ
J4brzhJ4sMK+c07AV62r3kb4ziKBLMOfksfJIOhV1d5w1dMFCaTmEKqsfC7phUJ5citWs2mfBfVi
PEZZDzSKjmatgqodwDnAOF3EzNohmj3rJw+yRM2o35RrHkeRFyUTJ90hM1ob3lTnOy9DPLiHxlPR
GzZrRCE6kjAx6uk+sV15xAWrzo0rkhd4Xsxxq8axAgkX6pYvhnYPMmehiMvTN6c033RJ11w5Kog7
ssvqbn6o+9H8OdbGuBITpo2WdKh4EBliWJmr5eRJjYE/mym6o+nnaHXF1a2t6URc3XSgd2L8ENWM
G9w82xlL/ObZeX0PT/KM49ncuE7Qx+wiQZcQd6SsKvS05jyPEeZrI7HSTTFn9A+jdM92XqQP0xLV
d5HRp1epM+it9OFucJJxX9h980ay3hCwl2P10yjGbgqm0JDg/y46xceZLunL6PPPyCe13CK5PM6i
LDamB1uyUlNyrNPhkXuISWUVAc7SRfxFF7QcjFx7judG3y5WCS/OLPtrlXkCuf+SbCCIDpvSTO7I
UgAtE9vVo0h19KQJ6/nWoONDFrF2Zki7oPNRUWtArI/IgIdNrzViEyUe8Pw2ayGJ9GuWBdGgUQEg
h7hnTuFE/ARGVG58h8bJ9v3HonW+J6aHvTdlc8Lqlq22XiPAGuljraFbtqS7c7xEuBeqMnrF7Mqt
uP4bkL1a2ziBvUfStvnmjbzNuYBqj6fbv4D8AdhpjgIPTmbF05cGvJMoPJS4z2bt/RJdeimmgdMX
sCBJfVvP9K4jmm2CDTJLw68ip5s5SQS8XqYFQktvZHevq2Ynfa1xo28bEw2Gv8jXonT2QpvyjcOd
UBJE43+w5cXT7Nc/qpkHyuny57HJXCxvCjhFrt8v48JcolEht136AggSH7+m+WG7/qa9TEU7a6Se
9wqOnt4vf7AJ/qIu/hxdM+JDJSVwmyN12LootlYpTHICkfmAv6m9eHqMMw1XaWI4ZKYxggircjQ3
KBtQUi5lCXrItQ7dmLXPKD37zdLh+3b6vjhYc/VN1ziFwKhsyD3cOr34UiXLLFv8YOMI9rw32PJZ
4l+U3P9T7v7nqi1WwKuu/T8ud++/xd9W7v6/qXf//Lo/613xh0kaEqYHRGCwmh2MB39y963flfAK
jwAq7+p/VW45FLUQnZlrYqml1USz/K/KLfGHgf2Fp9gEwMG3dP+peve3w+4f0i2qacyu7CX5fqSz
+Ij1/17vZlzHldUt8dGL4/y+tttqPKbd2N2TuskAOIJAURvTFCjTGDZkiBE8ihh4K4BQbtnyvWA3
0Ha5pRpOkXTtxTujAjCU6DumVB0L9ST+6EnDnUFcxOLBKfX03OvFPakwaP8bf3mgEOTBj7z8ooDl
BW0jX0Q0V0FLQs8Bk3gRUiGLQCrx3LaMc4dhKq7OEGODmtQQPdcTKRZQ3RVtZ+cuTbmRJd844ITg
gnNcAO3lgpaeTJlonLG1AoMkB8WuPsDuNcmmGeNqKxajfIG25X1gmj+RawLv0oSi5GqgxvoyVOiL
amKtwqZ3yw34M/SVBch5izA3VRg9/yrrVs/9nazbpwiKLTJvEuvHWZzgQszhQq0CxBZhgQUXK3Sn
VBHHiSRnscdz1FZ3blLzESWKFXQXIy4lvTQdWrUtqDmDZnLi73IU06kcJ3unoQqFQkHaTqVSimbf
IC810f2PCGX6Oc0J22Z9TjhpyagpTJK2uJe2iu6SnCH+rJqg0Is7cmvRmkH72zcIjr7NtnAvqUeu
wsyiLxX4xGU9UY1RQNql9xJjRYRd71P8D6ulVsFtmzJ7fBxbUQSTabUAIIb8qZP4A1O/bZHx2Kyu
Ka4756K6paf9SOCVpDwjY/Q44PB0oHpuhUGZgbpjX/bzmbQRLMUD4pVqtnat0587qbdgruYS31OW
40RdkJQ7pvZZIsUl2rS7sPcgkHk6siLyOKUzgnnHmEl+5LA6HApr05BxGsyGu/LbtE3lT4+NtGkS
/B8TCa9TXdwZ9XBJLOs+UsUEUsvbumO5R1h7FUbCrhIP7RT0mrrmTYs0hWvb107pwn7Dl+qbtEiA
dHshAmBcJ6F5O81F4JE2r+O4YKFAg5LAigwGn7TFTgLvnMyvwuRzbTpIg05moefC8BHkCVWOyEsr
FBi5eVQtHziuT4HSd2SqTYSF5mccWrfabkxqyjd7MtF9RHvleifXjfZTnPjvdmkte1DS9EvXVWmX
MgJLEQHsy7F7TtgeAWralUlU3uuFTaTSAkzUy5B8pKRYzHs7hjFXYXCYI+sTaCKS6B3CgxyobUO0
aInD0p0fegeWsrCeNFOMrM67+WVIFnG03GJLdFSFwQjmXa9/h/g9YRCj7iyqWD4hnb9JaySTZp33
dXa+m2flYVUs+Kh/w3fFgkEFo3KoUDzsvR5tM+JlcUQZqJ6torpZWWMjeLRY/KSFVE96Hi1MrLq+
3uNKiK+zQyy7eIH8CKQpdcqHqdW0EMTMJdbtq0R4kWXOW5yre0CnKuyHmXicqb2L2+6owWPVqRyn
GJ4hgeZKqCSE5XHftv2vrHzSQcZyzPnWQbh1Hip62W1vbO15DHWE07yIlhZG8wKo1Gzu1ajfkfY5
BtDrA8/z8E6oVWqIdObVzHnba4npZ3bWn50eG10L2rzWX8B+JiE5RAJgW2B2O2SZ6C28ydg3EFBL
YXyzI41lj+H/ylP/YmVLYOsFi+rmweo9pn/ppsrMW7tI42PElahz8CZbG0b/k++UbKOYifNAYndE
iKlWrVLUAvvtFp/XM/MNu9t5fpYboA3ddNoRQYgqAtWUU4RGbLUK658sxvvS5W3TRSNQ0VOVLxvT
Z6+LFsOP0lNJ4VK/YbYho94UWd1j4bKy/lDF7RjfmbkeU912id0GQ++NA5qQUvGcNAnCST3WUAN6
Uqp446u5YVW0iIUXWIhFD1t7LYDqMq2grPXW1dJG8+LFs3icNeS+uW912xZnwq0j0zjDYxsV+h7U
dZ5vSbHGfRMxKkDzVTMqGJ1m2ng+0CTe3EVq26HIB5CF6brKdMdRf19yMHHhIkuD91GlqR/OrdEY
IGx685b1DZ9L2Ty6kVqAV6QIfDpVh71ZHjrAQoTW9y/9eOegeqPw1S+AW+qLDS81MDHuhJzQMsDk
FoXIfovAIKY9AEe+vio1Oei2y4BlTD/xQUw7lU7fjdJqQq+1wEAq8yHSm+ketrgZOl37lbhfKAP9
kzIZMziuMjdj7093VgX0jtiovSsrllHGLUVQQHi5hwgRo7ksXIcUuFbfDo3tnntndg55FYGYSKwT
QPhblQ0cUIlh3Wk8lVt9qb/nXaWtvyOkGqqG3CynBx6yl8Wok1/CniTkevZWU14t55SWksOOJt/w
dLVJjUb9YjwbOyFMxdpCFtrrKQ6/hPi1/5nR/jYs/NeK1v/njPbyrVyHtP9OzcqX/Vmz2n8wf2Ah
6MFiMWzsi/+nZmXaSi1LBhKEQ+xW6/T2X2e04g/GpRgd2L6xnWU/+4+a1foDKB+rat1aUVoWVfU/
MaOF+fZ/zWjJpMJqL3zUMQb2yr/XrKLpylrTM/+QtklxUKheCNbzT2inLRAIMdQjEc/PGWjmPdxt
EcZymV+KrteesBG/tbHfXLTGQwEfFfPZRU1460YbeG/RgDoxuF0mhkQm+xIGfnRggWyjV9v0igvs
g2PXRjB4Bm8451l30/A9RMQbyi+Bph59SVrS2eYPqcdEmF0PbiQ27QodUjNQuLmJj0WHieyzT2R2
OEd9FCCYrS+cWbPcsKdiOCErNq1YDvdJnbkHrfRtcWBRPj9Rzcj3pK5/Zuwh3U3cWw0GriT9TEwk
VkBtDolt36cl6a6ZzLPzBDZw01k2cGObrTLTu409rKIAMTFYI1r7lgLuvviZOKjBR1hfGJCPE0Q+
S4usZGwSJDkyeUe3ToRjX3PFaeVKmO6mJpiEhQKoXeVrPkobfYh3rYmNrOMRyYKpL+qbPqU/JtHZ
UKQiLL9SoQ4z9AkhZ6d/FsZM08++ZySIgRgDyH/x0zjNcE0n7Wkc3PxxzB1tn08iKjc18YmPYnI9
RDPxxPSd3RkYT6Ndv6c5cYdxlGZE1f0ufpO+V4+RibG2b4DgYWhrRyZfuWPCVZexdmw52c/1nPfp
LlpMZnc2/NsImUFEGKX0NP88Vkg5erONyOLAJSH3LOrGE2rtBtGxvzTOZhQYfAMauzEiK6HOUTQW
NmKuxppfy3Iux8DzO5fBidswTRgBSvsACpT/0LuUIEHR2DEUZt8VHJeICXWyVNLknUFfe1n63mac
iWIqCWMjom4BTGVselapSNWJ+EVHB1vJL8ersK3OeFRZ76EATDt4zrgWc3c72QY9l9/Su91StvDy
4BIz2Zx4wqw4hMMbLxs2dSa05an8VdVJcXZJ9YpxZtRtveduZE2ZssM49b+VcpPRrhLFyX/E2Xn0
Mh0OObCSICZpotf7AtS0pQeEU9EWWvf4J9/zzn2Y05W/nOgmzVd7kD2lm2j1Sw6aPqis6jauxWBt
Pw0EDyjDVvfJWlwV4KOnoblLY/DyWXV0JKSysablAWZENFfYtxW/MnMCIFCo4hjrmfWQKEv7yeO8
qcBhMi9+MHtciUQUPup6Q37cNNP2CH3nF+wF+K/+spbHguTDzuNrYLW9F5qZPna6fqwdmWymljky
omib/iV1KKnYrSR5Bq9ViwJH6x48RyGUUuyhpzbmYfDiA+pZotMt+VxYo9xnmZtyEVrxoVl9MY5T
EJmmNIIvi6oL1bLozMIr7Ztt0+407h7yk2TwV03BCAr8UHp6uULKNq5NIAAtFWaSyCiri56kzqev
4ie43MkmQfe3nyLiZgg+3WU2mZqG5fbhMETu98VeKIcMtTW8ubszzZRADWQ2kmiN4yjcJ46+C/EU
cWA1yjxlCciwQmxVmufYBExn3/hM2hku721H/0FKaoelWf2Ms+hqyalC6Qkvwe5QtbPE+jn1XvY1
LPGvv4xU/h1Xl/kbxPz3EQWKDhCSpm4B/8Dm9vfjvqxnODKJ4R+0GCqYLHA5+0vOLDWea3GVrNdJ
31kGUbN3y7qLXs3JO7ZrKl+8Ls7IZovlVDiDV3ECp4og6pj14G/jOWsVz2XiUcYYGWz/ZMzUa9WW
xvdRRbzPRjth7abUd5sgLxZE7Uhj2a3N+ChOmSEHuZc4FtpjawgOi7KOzlSJI+SG36cJSmROlub3
KYPsPj/PBSPH49Ar16RQnkZ2FW3J6EC3tR0z3fTWpxqNUd7o7rFtELK2a99vRmglzD7eISQe7vKo
200+Ko6BIPDAgqmg23I6C8xqGDTkmQ1fuoU0M4eZ6UtCj2I/NEsf7zUDimWdVKQcZ3dOGYl90xB3
5qOGDI0q6ZiAR3uGPubJGtz+p4EO54Vyvdo2FhbbbdY1IIW6DL/uPoWkP6ApTLAv0H4lG0dPW55u
TNNVCKgtzZ4S1RnTWTVpEebpxPiGWBdgAVhH9UYrNr4fI/xdxz/OOgjqmAglVZueVWzYD4NNvAbq
3rj84FDo0La4y04QdgNRA5wSv9AmvY41iOu4FwP4pPSxzSvz5OhJuakQUBoX3TYyvAdradn/S5kJ
E5/kV1bPZ0mrcCWLRdu7rJgQUY3aHt9x/xBpaBwqN46/R03C2zonzfCpBKcXwnXzGolVCINveFMZ
xpedR8ZBn7tiC9iVNatZtA85464gEeY+L6Cf0SmcuO1a9pnaePZiiHfO3EJukh00FHOT0JDg/1F3
dS/eZbzMWz65txwsOxlaScT/xFdbzZMjzivjufD7Cmr2fGjtNVIlh/Y4Wz9i3Zh2TqN9B6/O/qi0
jX0t+5MFQEgaRPKYxrkrorcotjZeI4/4k78YPuMR9O/1caTXHgaxm5fhRyFn4x7P+E+2Zozoh9re
GK7e7rxZ8w4AJr8Jr+tO0iP1p3My+UP5/nQaHa97LJABHruOjVRaJ15QFBk24rH7TrEowlJYP0Z7
jTdjmxCyefQ2hZEkZzvVPhZg4ftC6cZ92fgXRLIqtEhJ2JalpjZkmFY7uLlR2AwsHkbR4uKsBzYg
eEZ8ftkZaQTb3qMhx/tf1V1/Wf43e2e2HDlyZulX6QcYlMEd++XETjJIBvflBkZmJrE6AHfsePr+
IqtKVappTUtmfTFjpgtdSFQmmYwIuP/nP+c7jTBsPuZ5H7gNM/MkH7AkT9elEBlBaIlcJ2YatFpB
kwK59zvKvlrS7cnWiYbswjqvkJKRHTZA/yC79CM6eLHxlO4PqpvwvfWi+cLhAh6z8Oud2y/1RrUA
qxwlz644L9nkTpHv9TjRXFyenXQAizDV+dMsX4KfVrvB4LrLvKzDNO7aOHmzPP9Kf5r0VIx/N+8T
+F6enNpmbxniIltyf4oNFme0OZ/Wxc+Du/l5iAOG50B3AgIVh/DnQT/8PPSXnxeAJom5DEw/Lwbu
z0uCf74voE92/562fu2u/+emLaaTf7wiuP6RpOwI5r96Ys47Av7g3zwxlLGf9XzB6IT1hK/8uiMI
I1rvcb74tCAGv33l93nL/4WqQAgpEU2JDjkFRrE/dgRnfiXAOeY0BiWQJv/KvOX8FWVD9aIbntlT
fujyl7l/OYBZ8nWhh1ZwMJFxk4PUBeUm4MYmgyUmS79PRVleoh5MzYXn+P2DK+Yw2fqjyJcd6Brn
See5uqg6nzakxi8GbmKZxcnqjd2k98pKnafzTfk6Hkf7VlmWB+fJq1iRBTDuyEq6bh4dMISGQAzn
UDdH26qnC2I0BEO9hA9JGHfJY+vRAgvkrjxffoT1GIleX4V90L/CnCvpNAujrbDLYq2r8N7mHMFF
ad/QMotpDOYDmMt2MN90qZtxjT1BacSmJDnaOcUqLCPEcvRSrvmb0WUJAVIAFM5SqkPQG9JWMpOH
2AtpTfIWB/F9ZoB08fzyKJsS4lKzfzemTvQY1lG4H0UxEiopo3U+q2HlEEPYOrAPkasjxsfUZ4R0
ZUOLcTj2RA+mJkArru9FZDUhGdZspkIMJoDNlS7OcCVU43CneQ7OIDp4fh911hHgicOBGOA0ltw+
o4pk9KZlJmg2icUqmcQNHr1dIuYWL8QQWeJuEV4035oE1+OdcG0kHkBnsTkUVN7HuKNDsVz0NtLv
ZTyMkbOp81gM2773vYWdaFq+0nGlvbtQGeKdYkHyxGQBXwIJVRbzylnaod/Ffjvsg85Ov9t1kwRr
1ahoX5lePHvxSFAvsZPkzCb8ikhr9daoT7IK5bE2c8PuxLbopAyH18AHPZ3a8Qk0Dpc6PXac85NC
DjXjRs06u2PVwgrKpsOlhjFIhNOzx33rVu13Rw3Boca/mO0zxHmxKWtbbwqcD48onpRUzYRP5o2C
oPtAp818pMoPuM6UEU9uu/Kho8Rq0zvMyxGWjT1MnvrSDpitQasmWzsLL9nbMOotYnmMq0zsBl17
lz6Wl1Wa03ZfCXKuYb8u6rZ9mF2qqlLht7cWg95uLMZErTroWCu3NDP5qToNFFZX/vd9zSL7yEqQ
a0TOumXGoHE0movOSuRu9si7tb/C4ymAN0psBoCesvxiToqxod6x36ieg79skv4iGcbiNuLe89bx
2jLD1TFxvkROeL7mcZqgplrjuGHbxmZGBc9Tlqk7Pdd70mrlVkcEp1VOsYAnLdqVw6B5UH3SIjL2
Ob/3fN77eaLfggiLDnmA/rrp5h9134M8aGapMM3G3YEqjnznQ00pXhtr9B/GGtsvK7EieG/mDsuq
rXz3YiwHix3B1ONKw3ngW7LfeoPud7Y2moRawLpm8sq1EnAeyolMiUt69lCyn7FV5/OEUdO179n9
a2y3mBjapDwlkaMv2yavmIXTiOibxqI+DjQM/1uE/GdEyDO4y/ZDIaVLNbzjCYmH8h+fkJuP7+bj
1zJ71unmPw4fw48y+4//Tbv95m8997SF/Vmw/C+/xa9naeCwbwcriwyJOBjwY/x+lgb2L2GAw9QL
nJ9H6Z/9pfZZ8BQsJADRSoZZDuDfz1L7F9vFVxjBSPv5V/5L/lLxV5jTmaDouHQOOWRE2aBEfzlL
NV6anLyau43Hp36ur6NHsYPpBYyYySFeg27L4Eu0984TDiCGLKxErc52mXqJwRlksUU7oru2C/Ue
xQPZTUR8ajmtXRCa/dCE+OnJY4Wf8+RuUhgNLGtf+vFdZtSfzTBg7eXBaSz2tTMjvIE7d4nhxkzr
8hCTj5I3yXfEAbZMxxnTWDVe1wbugf+Fj4bEAMoXqyPhX3h5p6i5EjdQZjfzaK3LdN4rH63Tn3oo
IZjCrD1uHLPDLZms6768mYjNRJjWqvHTjip8NfadOkcWsoTGLc8hJ9AG0DGqb11564dY6HqKZnmw
wVfDNFOm7GhmwgzyJMCWJOVy4ThmZ8/yYLnqEjWqXFPGQI8O5LGmuaXyj714YhD9aGXK7VMJ+G5q
8nxlOfUPjwFzXWn3zeZ5zMu0pbVwW+PrzeHdum2xm7H+GpaWuW8IMrTXTtadOso5ROx8KwL/NNX8
rCArSQEJyeNxfqotgOcKUYG7yioPXVL/Pg9uf+BvhUJ7ShQAGB21cGNCgu0tV4zpvwHZ0UP797r4
z8+dDb88ENDzYPr85b1VDHY7ZTVJu2lRT6ajU891YdAM3oFE0taTHHNl4F92RbUvm1tPTXtPuFed
wlfGQIFQ0uLFjKFGnYN9hWXvsh7yAP2yqz52Ts5Q8yj2HhzXo5gwbzfaya50dWX37t401ZWYd8IK
txW5xiZb7rwyPYSUHBoR3XS8hM2cfbmELL3izeLXHLNmxpiwS6BKED5Ys2Ld6PF8qWjp1Ag2yO+b
xFgHYKsn45nd4LinGfK47ybXE2biiHS5SrvHnAmRtyRnwaUr3n3EVNZ3l9onpl+PZCVq9PsgYJUa
8a4s5opQWXYMsQxrktioxp4KP1U3H8qSFssR6koPyIY5ezkuVCWFYfwxN96uxtCr+AvRakieMEZe
8rh4kTJBbX+Uxlyb2D0geDxW0/uSe9MV1tGapacI3nTsYMvkdmTBAksbweHIW2T03Z3wo4N2zHeb
pp7VoObbBDsLskftbSKuAFcalb3xl/c/PV3/Kz3tvB35Q0779dGJ4ccB/SRtO3LPt/0/OdyX2g4L
M1ZYyOriR4Kzk67CfWzEuzbpehnMpQjMvY6Lm6UfbpPWXORgBbIMOQwJCEE9YKsNixnJGxk9uoWR
wrOru2/DCOdNV5zydIB1Wv037273J7zpzz83CyQcfEi0pHCoig7/kndsWT80g8CZrAND9FmyosSD
snj1eurRXU0JpKlMw33Hc7FJfGI5PKQ0cAMZ7CYI2TotqdixCKEZPS6wSgLes6T7aplxiUdUlH5J
j93wwIN175TTKcv7h8YST4sDAMjI74mH/w7PIvVW3QYASrci4MI39qEcTWHIo3GQXzAesCR3nXV0
1IjYtjQdl67xPh2G08jSqPFjcqd+dZ0OMNd8P3pH3BLU5w6PQPVuh9JdVkiZVBnm6dZzmsexs76i
1AGUkflfvoXDxs9f0bL2ZmjLnSe+mjLbpwwZUcVPkOgLg5lwCemHS71nNjp7Qj5Y6s3niPY4I9DU
atxi80nsEdcCXROF91KR3MP9TeaBpKLXXVNYf2o7Tg/ydNgtUV5FVazSvn/JTfekbZrHK/d1KfRT
kk23vayWzdB368WC5ZPrtU7sAw2CD146HuxkgVOXf4vt5qFEmeqls/Eln/fc4xobnpLKvmDffRpd
OjLK8EEJOax65W96O9pGArJw4u2S1N7x0h9tUW7HYeSUyV7omTqQBwLL1Ky9GdX32MXLtsVA1UXl
ugyyFaWc+fIQM0eibG/S/ipqiou8il8Mv0JMM8jGTDA7Xal9WCzbdKTVkM3+F0CEs1p8QpfdaJO/
aczmq6jN4WZjXVgvjqupXw46IEvBXY0nAqKB3lSIxcRHh1Pm5UyR7rCy5BeO24vYil7cFlHJqr+H
QDFhZFTc6+Mj/Tn8iaE+dbo4SLoU8pqb9OjfF0l+5Ur8qEvs05Hr4UXFjxFb3SaqezCd4yZO2oqT
6TWXI9bQ6aB6qlTxmtIv3aknoqivSesdJ+M8lyyG8Ne/eot+nFRP72/eX+g4+FqkcxX3qb8l2s1c
IJKrecJqjTo9b5gBS7pzl2ORcGr59S3dtWYfGPvDRcjeytHc1878QVsnU3PfvdolVgbB3pGWj/lk
3O5pWMLLgRwgIxtkieKikN6zH+BQ7WgdlGn+KFqfEqX+yiYfr3C9s1mEelPSbDtOm8m2T+RRNoUX
PytMBKFhL+lG935vXSfF20JXNXn5dRSnN+2Q3RHk2M682928+VoyCdhtJgkfPUyz8yI1WI5uQaLX
97H1ORThF9Dm9wkHCgPPjnzJt9xFi1XBsE487z6Ofijk/iDauhaIs5tG3ACzqvp7Bp6TQbnuHeIL
DnEFbFl5+KSmdg0xZV0v3RrJgt3NBCnpR5HhOqSZuWhfg+hx9FI87C7p2C/0ko2Qb33yECRq74eG
QOQd4ih2qPG+7iVvF+s6t+8niSMsXY52XK4CcpJsNA8ZExEkcs9V2LKY6dnKNv6tGL9FHhUygfPa
9eHKn/lcF/IVWpaaRmrJ7uykp9qiSF80JbzwQbxNkn2O1Car/mvKa0bw6HNynHIXDe0nrudDZpJD
kQnQFTlaSpTCIamjzYx6u/KicSNxEHZRTVybaW1lDRGBhEQ9072RbCc5u98tA1gltOgwYaGzG7GC
eKZ6TBMdbJZcPEaF9VbP80tdLD8TH0vcYZoHg712iIxcJF1BK0wZAjPzqeIYxuob9eP7cAkOHS0U
vsrYIYRcp5J0erBcpHdjkzIFRqvy8aPzuQ4Lc+GPMfHfroK3EXyqYbiMxvQHeefHqMJdpnN5yHMc
RnXL1SSKVbGNA7z0Z7ZpPnSPpbNwtVMAvVyMks5XYZfrXOwRZy9dsLKiNteM1Tx93etUe4hI3T50
tIRrA6DXuDOeydGDe6ejbNN5hsYEN+q2ZOHn1f9Kl1iWrAQgFHjRqZDn7E/YP2a2ejVn1rmqUyh6
bXzvpOKS301G2TDBRtnEM8sJVntBRfrAZjHAwtl/+J8aWv/fJGsy6517+f7xeLlOMWhnDJbpnwdI
Qenrr3/yt6nR/yWk6o3LEG11CLDn2fBXBTbwfyGKyEXJRwH9Fbz5mwDrMDRyD4loBw6dc5bxD5M2
X8Ibg2brk0oQlPn8S4YXcb63//nmwxgbnbclET8Fw+h5nv7zjY2HdIBj96yrjEY/KZoIXnUgkusQ
ABRXjMhMb51lf8aFMD9C41TvY9+C/BjStN+67VhjZ63NNvCs6NWIob4cVJNsRJiV370y6V/+p95B
f5d8vc6+mbqtv7qfiNa/IVt/6tR//Lf/n/KxLKlD3Ppcp/9v78b0o+uy9v94P/7xh399Q4awW20b
MhtyAa8+JPnf35Ch/QsQ2LMLix0m7qfzV35fCbi/CFue35LQQGjVEfwsv8kYIkDh4F0U+vTQ0LoW
OP/KSoD3+V/ekn54LnplwxDKM6X9r10cuJOGgv9Mu8CtU7mDAGvWwE8lsZaoWtiJNUubbyHTozQP
STznDGFnOJg74cpZdX5HJwnhh2OFFg4kqm5ox4uVRt4MyociG61HT8TpRTLVw8lXVXplVGDzaPUC
tW9BL2wDBz24rdr0++CES0oZdhmm9EnQoxZPfvnMk7QEmUX7zFUiKpddO8YD+lLj+c6faiXJ2zwk
vTNzaT1A8ubglAPehz4z5ipllFlPISubHQt/LJDxxI2eo3S2xn0lR82uemYp2ZeL/RB7WfnKHSx5
qGVdsQnHi0VCLrmeS7o7CNANyyfrVu99St2AY5z89MgFimK+Ah1FRvQTUoYIXUbQ5JzT0Xma2ra8
bZYi31Y0UK8qOV0lgD63QqXULzoGcZ0gKx40aNVL7YvPMAtJX1Z1DxCoC7PiCDm0+Bz9iC16kZTR
96S2kieJanxGQUSw17LAkvgn5FBxPNlkpZzCXdkOjgJ6H+VlzgtA9rl216j9w9VUm+c5q6j0COSU
AcloKxSjvLIxek+62qbuUjgbh3XVde+P+UdWueqHLWMym2aYkZs03nO4ptEM1DAi7kwNk+UgLS+0
MeA/SKa1XyXdisVEXTKGjQkchDG6nDir39I2bru1orABMgLyhsZkRMO4ser0FQUcQiaaXnpwWr6P
mJ0KUcyMjD9FQtiaq6ABfFRTTAyykk6KA/6w/jt5yzHdObKe4JhZ0T7oA6IdMvFnUCZ9DZ4NS3yz
LXlbP3WuI08FBv5j7PftY1ql9UdCOxJaV8fe+qoDm9CsA8pgv2nlzW9tlNZiAwDq5w3NNO+CW0iz
WsS5FzvPK/Mg2OqdXFdw11iaMTrmbAJOKtVar8IqBW4bTaG5YwszPbfu+WqIh9n6Qf2BRxJQCPPq
BoX69LmX78Np5uu1jMbHtiLtweSpMHObDsLCgXQDet1gpRX5bS6t9HKSXGblxs1pHJ8jf2zuva5G
SsNazOe20IcgTK0BB4ePIdkmh7SBRzbpdWzL4jPhw3X+ozGziGvKUh/QQnKzdXEB4CbK/FNJ1vCc
ZSgn+yXBaPZ6XnrMZMnrZc8dixcw7Gt+amcOPfaHmp7a1sZpuAo07qmlTVvYrv6PuJTL25hMWwHV
jina+VYPUUjVb5GbTy+YFElP4U5vE2bLje7TibqndnwkJ9sc09CJDwXm1ctKleg/XtLx5SBjbTFP
7cvSBoSrk7ZztzIca4ybHdhEe/G7FUThZo14VaESOVwiiVEeoN7DDJoXtvCU7GFOlKsG2XTfa/pC
FhnEz5HE4FJ16C0Q9yN/bYm+ZQDpTKPXrHL0Jl0q5B53yWyxVuOk6q0kL6mYgXT2I++b9GkJ0vTK
LkSRbHG0A6O1cLa9WnxQmE3J1fSrQuv+TTl5ypRgdXgAi2zho70oT5+Q1dS8g3aKKUQtDB8CJMuq
4zIBm6r3+xutixkSfVXXF51q29f2HNwlu/S9UEOOncLwnB7KEltMVJyzlr2FpWGJ9JPdyZz+CHos
V1E6DS9unJijE6fpmyDqdRaJGbt6SUCaNyxucSYQZeN30kvwrYVBckgUgGKduc06rLh1cJTgyE/y
Un93rSQYIXDBF+OXN47XWY/xYU1AZvZYUiIuri0aUtI1Ho8aS4mn/eCAQzUNYaYmwtkUdtT+mN22
7tbjFKzqpeGUcSkVN8roy9jPKvbI3IkwSlJhQHtJWXR7SSl9eqgp+ty5md/BwVsqImqgtBPEgtL3
sP/2DjBCzJh4Znlr6q+JutZLu4PDItq2hQS2TDycorJ6qCw+bnQWZCAsR63fsqBlBCF+Gt51jZHP
bBFjPnS6kEcbQNpTRDbrlUag8DLMy4RdYNBB2Q+bxLltKOe49dlOPOk5KPh1A8vR6wBYpLObGwFE
pc2G6znooPu6k5s8s9q2YU9DdfmyNZW+V/yEKbrKAPkNus0cvnVTiL2kL2V7zefWU4eYbcS5cNrz
H3k2meOgovxmjGu5c0KiUVMsAcJNloHQU1qZla7LpRQ7S9fZMZ/j4GXObWR4Uv63RR7Zaza9EHHH
OjvJEDE9XYQ4YSyrcZKl+rnHkfnURE6zERB+GztwHjtgXqeCTr9NX+TOQXvKftR2bf2QOWVRK5nI
ftM4tXNBpJkoc0qrwaOyk+AU1NljXdvWKa5nit3h4iCWpnlxsnJJJYXbAC0a58oDmheBe9tmdkV7
J3VkiINzkAPwjMuQlWbWlE7zAec43k11j6g0BAWZwKUeYRcDiOgSrg5DOS7fyhTojQWSw6yrvk5v
a79sj6oBAgvSLnuHevvGBXrZT3007eOMCE3AUPoR9zM56HAs7pG9qz2J6+UAb7DaaQAi2I5Caf1a
ezr3KUhr2bbSXAeeUu9lOiBgssqawi0GBdJ8lbHZnSYND5cWl/5Fn2bdo17G+lBZJsWxbZttd86a
K/q/M8ZzQnd26zp7lwfQGjTT8OhxtNyBssbt244w6GGskoyuMaR9LCIfr8MWq+CWJ0J6MdQIKYk9
yAfb7ZsTmkg+kJb3giN0Bv/B8VIajEv3jCxrHbnPwym8mRc76a6q9szhjOy0vPZzCj6aOYrhQRfF
fcd49GV06QScylwl1nXaEAoX+hwKEbOxUO2SvipP6CJoi57DS4wzllSKaTvE5s6t5xdEMTIxxdyc
ioZ+RooaA52tMDw7H2xWIBN0eZI++27LKmuMwtrC2g4Cw01yzM24k/Ezsj4Ha5/183gR0bdZQ0LJ
/ZfB4hMJM2+4p1lb77tCidtRplKvO6/Fk98TXjtQkZPsfVV2b8lc1HeGSFq0kYgpl7229ZWfFnxW
F+yGx2B2YG5hQxjWFvnOOy6waPc6GtLXVHSABstxAAgBqt95tPNJvwAza05IitAdfLPchL2fDCuO
LXfaeEiO3AlNtqjVrILvteuyOKfJb76xhri6jJrK3iO8EzozaMPboA38b8sSdmITojx8dKDNsLWq
ytq6czN85rLMwx25qB53QUpmol/GO3Zrov/1X0nyp1qTKBzeoiF4dHKANyN9LS98OB13pbOqOYVn
Pkyq1ZNXlPcwZjMiREl7jFTq8pmN8TwSBCUoq7woWVszZc6VI3nh49iPXjDlcYLEzZgQJXLpI1nh
YHCecz/Wx4iSo/uorv17EG3NNcNLeWyTmV0JhIucjV4bfgP1ne5B21Dpgz7p3UyhP4DOLrvpPcxm
e74kKTrMB5JrQ3GZVpJFn58k86FzPO9bXCYgwyrWg6sKSBSlZ01wdtOaMMJ0mEBc4OT6YSFG/kiS
2PTbIS/ImvWLHZqNr87CmTc4mdzLOsqeULrkzqrL/HWxrOXejhSguWGuI862dHgWRZTek70qb6qh
X05L5nQ/nJ+Hr4nZY/KLxzI9JvH9nM7t51SH7XVQwV4343AldJL4eJsH/yOtMz3h3w9TIHJxFODf
9Vl4DQi2t2ERjBs66ODzpdlMrKAtzwhRu3KLArB+TuntoFseGromXIEH0Xu1E6HJ7OoOI6qdoThr
226+uZaGw10bgGa0Ct1latQv8BthlGlSfCWpludB2OTaJvxLF9HQt91OjBO2e1V1CfRWd7Eu6Bu2
DzLIpqvCOLNYefOZfcqQzK7VdP0xSx3V7As/7PBMCqoxGAmyg29GeWgmWxc0fcOcFl7KPXQeABGl
PeLcxmnOYJ4cxgn9WwEQOoTl9lKpHDV8mLjLbWQs6lOLt+TQEz3ndgOBe+/ZbX4IPRYnK3IS8h7e
m3sYhV99hvWi3s9Tdsd3cFS56V3HerB7058AWZuXYiKZWQhHcVXlwF+DSWI/JFqPrww2VwxL1let
PTdHlsTwVgju1fG6Luv8Q9WlSQ9EDZJbeCD8E4oCNhKfhzy/6yP1ZTrHd/i4gMKGtXSyTHbGr5R9
vTaL510hYYqBplvLBj4XR6i++bJ1w0W6awrq/AIW4MCFBK40PR2ZF8oNiqR7Zqb4zaHttL0evCqz
GE1TvC+lzJR3MF3LS8M13lbRfEVo3Fx2nEgfGa49f03yt41XIKtoK2I9WWIT6NiYEeaglWkZu/zs
g/PxHBuggcxshb+F4ZNetRLOkQFJ+12Fwof1NqnufI1UzTboUxOuS7/ILqKCe9mUFPV1Yn6is6hB
hdEZ2E/KO88U+AhLFkqc4ki4wty6PdlC5XfxQdpDdRiKoL2o+jnVdGqp6Zl2CmnvVe7XF5Ye4vfO
hJleA/Aor0lFaXnhGCTTl6CfwFgOwYiV7d9i1j/j4RG/6VEokf9YzHrqAOl/FGeB9e+01T/+7G9a
lsBCI0NYE3S8IYaeGRS/iavBL7hxCHZgWBB/DhM64hfXB26BquoIJ/LPltPfDTnhL3zhXEP6q4sn
8P4VJYsd01+ULEHhJ6VFrJbPAhmK29+Lq2lM3gnXqtwThFHlPih9lsM2+DRG1sD7aOdY3omZy7Ru
CntNrzjah13MPhdnl4fi6AXjkSKeDFoXN2S6PfQ6bZ7Y8eFUHyA90DS8SX1dXgRcgT/TrO8u7Dxz
zoG6xMpoEKWveQUgByT2rMJiHQYZFLlSwOns9HIrnaYlEeJ2h7zq+Sl8xiK2j/20tYuRcGBjfiSI
LOuO22y8ilQGpSES4Y3d9dkxCSUtkDLnOhv0eqckcBq3U9m2ZXV1lTusV6N0MWtNTcQehnL0PYdf
qVYew/uO4nB3X8+9/RAw5dwWja/3vDLBRjkTex+3G5dL8JBywyzW7uQSVNTykF7IVqkEGkpDMc0N
SZnvVUgIb5UMczHCAxngLXl9eDeWeULlTFOfhtBtPm2KHm/cAgba4r93kX291BkxB7c8LHNJ0Wdw
xR70LrVoL/Xc/hQAvuWmYTaTG3Q7x2T7xU/MBXzYCaqU5ZdY+S3V4LKdxm6TFribOhRTYuflENsb
4WZULeZXpphC8NLK3cRMEOgvZwx3qmaIqF1kqOioell/cKebwRub+D3KJ+8iX8LmtLSCh/giLf+x
JKB1afK5BVVp2ddTmkKTsztcA3PYFaS9z1Kfr6bgMLQ6OCC5D08DQVmxakjPKZrYCQk4ljiyB7Au
akmao3U6uusKT+LT9alB76sxeBnJL15VktIYECbE0mmbmbcxDRbfMxYDW5t35QHxCdpA7aXV3q69
6n2AunQbwN5lw2vnn6ap37pwDt7ozwv2XI2Le8Xd7cQo4T/T/V1i3UntI/yU4JiXVBVp4acb005H
XMjJcbCname0Yx0im0Z5YGryjgOaEWDKSK1zweUd7RXtOc3e3yBmFdfl5KKUlgVNOPQlieO8mHpe
UVcXPHcBN27Aq4TGa53ND1OWTBdqbMWJS1zvbhOvGT4cLxwxevguWf42B/C9dO+jisdjzOx+iALb
eWzt0EpXyDkjOIDcvJdcLc26yJdWr6l49fRNZBfltIpHZRlw4Zx8JDCtbeGMsBrjkfZzWs0nKDEW
36by/PE0kNZ7dmuL61Jr8VLoYgLp1CbslFbV4NRXXPv12gFOdxnk0JgsYOS3PC4gFxSZzG7ylMEl
XNzyNHZLdxxITp846ZHmJNjqh2ipxaVbdO05Fyzqb1Axk1u7mym3kiKXAMU17SpTYJuVIwLrCsSW
ZsoVYy34plV+KwGEXcfDUpxaM+KBiKdq2+FxY6vjTocgGAOGGmts7sJmjG9D8jDHVKGnDA2lS6sW
kNwuBJ9tVsC+sqPMY/D99ewfRdpOV7bp0r3tyO5Y2c14naKyvnsNkzH3tXPDhZyfGvA50drj8v8o
jJKfQi71PmbducYcbR48MnubzEVdzihH3geZ4LM1j6q4iZNyvAt7Md3NHvZ/PnCmWzfUXjLZA3kM
uoOlbQPwcEixGcU2laXecNkFlj5hl1KYKwLvWVv+SHWTXf8YHQbx1TLVuO+X0HogZSNvhxazgYi1
Ra6NXserbuT2DW06JyVHvYWuHOerolmDGNfYPHu1LTZWM5nnLO0hYBBBwrFDWcLWIS20y3GG7s/J
OkyZ6UjkMWnBjxsGZAtS0IMbqHiXpmFnnXtg54u6qJxjorJlPyvf24dRF9LBY5ZNInJKnUwfvTLB
0ybeyv6eeOW5FQhzfdONwWs2CjxtiUl3ICT0jfTb/oa02blXCKc+qXv1LinoeI9CpU69P2R7dinM
YguLgyL3u60ajIPQYAXygpsaLaEgkt21VxbpZcGd8xIJRm/GPjQX7iLUqdETHrUi+ybNFKLAt5dN
iqs64FSj7+y9cRY9wQgJ7hNNDFlN80WYBsmjzsvhR9XadEoZZ9p3eMmwKPRSi60/L0yKdpli/DDu
OO6s2fET4rpOc2wCC4eQy5Ld9MS9yxAHP7oyvVYUpxII8Vau82ooofCQ5K9FPRxUQpI3yPD7WeCE
eFRvxcwwr3KlD1GjUECMIEE9lVWzxT5IJYKwPae8LJyuJScaYv9K876iaSPtac3r8vICh/r53yKS
amsmCKYEMN9Zp/Fk7usAusboTEj1tjc+mHaZmRPkspV69HZVpIZ7xzKe2gKviA7w5mAz0V3EbX6K
ViMIOtxPpET79oQQ03w2vVPQZCKb8zJIXU4Nvx74UR6iFsWHy9TgHGgbh0RpjErWVvOVGOW+c5bl
4A/TgnlElq9Mp9+5tfPXxh/pFLSHUdGYFlbWoYOC1LnJWnt1fIEXGhOcazn31HP1l25e2w+wkKmm
MRaNFmlQASCgbqR3Vl6KqYnNgsD8kUkAM7b1NcXGx8/IkofPhz6Sse8PzoL/l/m3/o6LbjiEsiEI
LpuFPTsF1HZanc7b5lVZIo4ng4ofeAEUv1MoCStdmPAjlHPH8lmnNyIBIMP/0UF3n4gn2kt9oqPE
PhK9Va8jrNDtQLUFXd3WQDHUKKn0kX6HZBdh1P5SluOsMcWAWi0KFxuwg405S8Ix24qw8t29X2Xp
RfWf7J3JctxYmqVfJSwXvWrIgIvhAlaWvfB54DyK2sBcIonpYp7x9P2BkirFyMiwjFBVdSxaq1RQ
CbrDHcA/nPMdK9OY5SQBiKnBIj8Gz4DOEDlzkHl6WX5DfRFl5yogx3SlpcA/F9wGluFer3GqrERZ
xv2lNwzVAROKuvYbM3pJueMQs2E5/RKxGaNn04nuTfrQNYohFxagYdzVsgNihACu4e+w+1KStTdm
LNDF5BGuHm+eiLsoDPU0IvBbsnJhGnepsWPKwKfwC+t9laN1bWEbLlx9oCmmtKCBT4JlVffDcx8N
w2tfiGf6v+qTVN3JKTqdiZkV5JeehtCR8CbC8GQULbPc7M+kWYEiKvTuOFmiWuU+Y0JZkwzUKx5P
td6aB7N078TUgx8TfYKxEamOT8rLKqylgVqxDqCC29kmrNvoGGdZf9kYvrb1c8AMjMqabW8bDv77
zGHqN/rPrHLMDddosM3CyeRjaNO7yM4dmFpucKVjLSV2rGs2GmloRCYp5zaQ8y4h49G5jMUUr2yr
UQUbWC84jJrsNrVkyFANsvxssGReu1rhX6H7add6n0sIXTw4yUG0L9ocgpamfGiTpRasfGUC8Ond
jBhHBvP2elKwd+yEcd9SRL1ch74ebuJG+gHVVa/tUy+3jkjnO/jCg7VLB8e49RsvXFeFDv0WP/DO
Hq1km4y98cAgL4fsVJu7xIE3Fik/v5K9YvDROmwy57y96KMdVc2u7BPoFyRyrpBxEU0TZXIB/N56
4EFHx+1ULt1B5Ii11bvJITJSdyd9IrPaoMhe3Sxxz53aVvcdWdPgHzN9XQJeIe8QPL1XjtYGm5K+
z7rCWFmJ7/GoGWFHUg2YkOmy4azWm2umIRvqVBBUcorXkG0fNcKCS8xrF92oPcGRQ5sX5JCyMnD3
6NAIZMhpWgpHQloT+nAo7LBZVz7MrsVgRf26nbctNPFavuCLwUQtbVR/oydsFHRrsmHANz7vgHUM
iFr/8ENn+Zuq5VmW/KMI5td9Gk3kjyIYDQZq3OuIVNnzsSObM8eQnkmWxG60ETYx6wBEtfvSE8Od
axjex9HtiksRTsHRHUX55BP5yq6SAh8uqgi2YTsWd4PpTRvd1vB/yYQ9UeVpV1lXoU8t3UgkFLQz
LtazKCU0X0QfLfDQGkVNRoQToLMtSwFrzfz66JKZ/CVw8mBlakNOvquqdzieH9qyBsHaFPbaB9P3
UbQtnCXDBohVkouNPYSLNrHtC0sRwA41tbJXaC2RK4ZSfqJSD7Y2XDt8EP0p7+yrtsFdSYWyIBUg
wUQvxpU9heN112ZniJGnMxAGkgqcRAb2txXj2AQVkIM1qpq4bQeV/SyakhGUZs2L0TGlKFx3mpE/
TiJVBNhEbsItNnS6M1/KcR+yuTdZBQjnmjj67rJWU4whi9vB+RgmAieFHj0X/oTi2tKAjjCmvsmn
BJKVhmMD+SrOxnzsnKPVtNrOFiB263jKS8KvAMZBNdeHl64ePtbhVLLEtKONVaWomodSbUgCYuPP
0mBhVlOEOdR2O1h+VYNI1WZN1eZdvcaWGV1OScYTmtnvwad/vYpgJINGICzjhgvd2w/eAB0wt7o9
WelQ3EETvGKSpxRM+364C1OkesuWeqFfuiWBcUvX0HKC5qizu7eSW72V32KuxHkKU5THRV8DuivF
RqeXVwu9J0PNnCt5KGfcm9y5vjfeKn0Y4Uxf5/q/19zmzJt7gmTuDtTcJ7SqE6BfA829RNZrkN/u
1Xfp3GBUb72GQ2XGzWhuQcy3bqSdGxNmaf1V+tat+HPj0lcoBlOnF0tSvEhYN0G8rYMQsaT31vK4
b+0Psv6s2KHfH6CIOcZhqGxcilZBokqV8MXFBEtyum3IExsGEBvgkxYi65ora6iQS7swHLmJ0W8h
v70tKstZKa240UQU7QqNE2ZqRX6DydBa5hGVsjbWKH1ySuGDHEgQ6kKaNKvy8be3cUvUpksZBuet
8Qj40w2Eura9bFHaXXluLx9KPoORLGJaxmRuHpO3PhIFQHIeJg2TAppMK4ux4bx1ngjj50XU3JAW
eAG35dyktnO7iusRQywdbDG3siAw+djn9pYXOTe6tLzV3PyquQ1GacT2bm6NbS1wnzKrfBpY0nx2
5ga6nVvpaW6qs7m9Ji2FTnuam+5wbr+9uREf33pyNbfn6dyo48kVx2Zu3oe5jW/eOno05j6xZrT5
09zwA2g8S/2Gn8IQTBcQMJkMILzu7tt5XIBNRzJgbr3V799RLXRi72+o2NA8y3AYoc54lTfK1g8+
kNpD9NOVpbYdG9c6ZExvG+G7pHShTBViFsN6pn2lW7PgAJu3WNpk0247IY2nGjxftqxAZTyPXdsf
UmWNR801oOIwzftIYZA/mG5x1kYZYfS6NxUUT/1NlTZAk1OtSPhMYwxHoxyTHYj6mlagiVlDO4Em
D7WLi3ndjLwq0xMdlZU/ZacKKh/k0sYhQ3Oab2TJ2z2N/ALub9Pbvc56u++F8y3Qm2+Gv3/C/sle
9fUJRDEt5jGXtGdjzQ8nzKtYTVnwKrfog26nj+bH8qR9LG/6i/oahn92qamL3/+NFrbD9x+RaRq6
BZXXsjxulfJXv7FnwMJwPPK3SGz8zwpkYoMOPh4vkiGaxJJKujhWY4nR1YBp/9mwp2YNKSt5nQx7
IKVvjPxNFveo74Skol5PvskzXOSF1LcTMSuPYDOdO3hvPOqcLIf5lVjSBeiUjBUxmXmJiaUiQxUc
y55KhvsT45SFIwHjDhOUD8pPhg1pvFGWUW5GsGBHN7enT4jAyPGGSrTvStvdEvat3adRX50hhUqu
2XIFR0EKHnHZFMS3oedMOHCjmDCLfuhX8RBVDwRZzPevVKj/YX3qX1EH/W3iztfnX0/rDyGpt/9q
Vs//89usXn7wAOohePi1ENo1PzAph7Vgmu910ALCtQuYyfMspAhQh6nMvs/qjQ8e1woSaQnw0gay
/kdm9RLZ9PvrAXagS/iLixYaNCGE/PdXoJ7qIMG0kRQBw2JsTTBVnnFvMhhrk0/YEuVp+84jl6mu
VnXlYHot6oRUAyIiAmOF4MKaN9Fld9vrAAwW0m5wCyktPXeHdt5vhs1NjpaExViOQRN9E+qDUUW7
sM2zIy8oJTAYvUjvIXMk0M7thzMn16sjSXFZdGkjYvJoWk2ASErFEtGqlLVYx2GubqyssUckW+PI
flFOJjCkUs+8bS5pmRY5ikv0pAGzj4Ubx+4Oj6xNyDEesZuutctdSVuUrIwh+0g+xeAtW99AxgiN
aZm40GlYeZvtnawdGG14GJS/6FMDILBdYFTFXo/UDXeTiXXE6VDRmqXMN9HUY2WoBz+6iBqwfKD+
mNOvAonl8kClNofy9QNjAPZ1vtzFsMP1nTXRD679yoq4xzq9MyyjMNM+IT31wKqqMTrLfdaiJdOF
s1ogcF5UeS6j4yBQ2a1cNcLSTk0JSiupKiLf8s53PwZ93j4pkfQW640mfxGTZr6GlgTcS+lMDAOg
qfOhB4y9aGyvLhdtDT5xQZpIsjM00V9pk9Zdw0RIv5hpqMVMw8JArcey1z7WpTWSDQXzKt9aZe1c
gSxm4iIsYhkXU808b8lQU93lpuqoN0DZVWRZOkXOat01Xp1Cx00WEKj4NMnG9DetVnoYDWmqtoC1
ocMC1KkgQMoE7GmL1+toQGjcGAVCVFHVs0BPK67CjgmW2eQEz8WuflECk9DwBsZpv1K2jU3ITouT
XjcDVKbYbJes9smtKeBJa8A01oTcFYjsCkRpEV3NYhqzcdtYZb7JbWy3BH0Pj3L0ccEFGaQUJvAP
Q5FHj5YXsz0yJ7i3rj4nFPnNdGvkw3CVBUgcrQYRSWJ4/WVscNdXiQ1VryiT89aA2NRyLNZhA2F1
BnomEMsuA7FMn+WTYt1PlQBnGBH1w0BsVtj6B8No8p1IQ2+TmU7GQj5MHyoD/V/umveOyRIInTuo
Ya9YlN2RSoJvPhurEVkaqimvgyhJImex7FvdBWwX1UfwI/oKCwwT5yAD5t62w8Fsslk9N3XLUnfY
+DoETy6N1OL8J4KoBcM2pmtTdO5qzJh+8V03t4WIZbEKKd5e3d5qrlu/wNjY2sbtFPTTAyJbyLfS
HRkyxaUEyYJh9EHRUTwC2yoekrxpX9lyxw8ABvakEBIPlXDsWKerXNbEZF4BtiifSpHW11lqGafe
8zGmlkJ6tyJiEpWFUBCXcUqLg0lwJNduiM143Zsjo2G2j6d+iptxUWi1dS9EycygI+6n6onnHIJY
XmLrcD7FlPTrMLV9eINgVG5MV6JRLSJjTw2snmWNUWiRl7oggFSzx8tYZujKiL8sXkVUGg/zF+HO
nOT0Gsq+L1Zur6v7idnC9ZgOs9BO64BON2m1ZJPR8z5Zuq+UcI0n06Sd2LbWkOFNVsq/ME3ZHkbu
ETc+a5uXNEwg9jO4HB8TL1PNoubWvDOdhPTJ2PQxUFUAxvnkzRJ2TiKcO0g3KJ1busAl+UoBtWGQ
nRzYZi+CZhZiiUvAlR45nWA9kJFQb7jDGX17g+ZviiYcvY23snSHHh1CNWpe2jI2YugWKIg29AGI
PYjwqg5Mc0uCoBQtD9Gi7bRTqI9LZrFhO1erqp9p0EjSHduCu92I+iYQqtxG+RDmiy5q61siIKO1
45gli1vPOZqO8m8CZVng9rPkkOmT/0nr61u9SAeQlS2YkUIf42uvcpKUgO8kWqB+F+gQTdgrVK2k
CoGVEXsDufqZk7jNuSrBrC4YN4aXiT14F4Cd6MDiSWs5ETiCr3sHn9pORE1zi4RG3YVdYH8SMfiV
rgvkkVWrfs04rT9EFJJQ39hLRUmbosYijXadJIN3mWbjuOtyAgloojTcGi2hsQul95GGlLBxQBBG
ZWQvsQ2UoKpHce+EdX4dlDHFWtM5B6R96WmoS++EqLDdgoHhNfdgGJ6NpsFinUfirjMidz1ZmVxD
m3MBm1fFl8AP+pNXxAwgyFYEUZ5obLMWU9dXO2eMiDKImpmwaGSvhEFWCZNq6e5Q4KGtoosbV8Ku
7T0rrvws7hNzk5fzGR1NUpNlb5NjBPFtH1L1XxM6puEM0N202JC0yfPWLTy2f6jd52gxO4XK0Hc9
+1zFgCBMhU8O6AgJtLPT9tJIWtro3LUSgKypZL8WgQzI2mi8riC982Sv6uo6y2XqkU7q1agVY/Cg
CUPSMwRfJQ+vzkku6noINjJM80No18ShWUyDnyXCRrgBtIT60jfhJnj22HsbITr93pEqeuCZDSuy
igroc9LLO3pMzT4q5YL5g/F174Xg8+jgEZu6YGEz6I6tdlSRP+n7qKuzO9J7TVikhH4dp1LTrWOY
4X7NC93BTmtX+6h2nGJh1xn2r7lOb3IpbgbdFQfLC5ONX+skxroBNPd86q+mrOaEeNx0F4QZNI+2
V+avodtNj3pfOVuFtWJfTy5ansnNbjy/tM5kRQwu2+raeWxEhQm+6U3KITuwyM+Mq4JpMFGxF8ov
k8cc09w5BVtpbX0mLkgla0+deWPrPnkTJpQhcj7qFojD0Umw086IjyiwppVXFdYdHIVkH6LLhI+C
OIKFLBLIe/ZfbbYuoIlv2VCopyzQ+wfBrbMAFVAVpDEbJPU2kw7SeBLDTgwqPDhR3u7HEWoFwxwg
CL4G8sJkcgWciLi2qO8+jQKG5SJKLGeJljV5cscZ2YmMzN1Vvu5emKh5BWtyvXvx7Zqc3CFeVhRG
a72IiPgy6xnH7e4g/CaLlv7/aDTuHWEc1bb3ultDdsVjBepp21kVDCvZudyx4s7Wt4NWw5vIVaBu
I74mj+WgExDCzneHOadL1xBmohsxed1wQLLv4UBuiyYg8kNYH726GT8Xkr0DmK+IvVSvCN/i8ePX
LT6LgqyzIKTQ0QPFtJePmRAIgBw1t+1CPUWl03MSPWSWo+DxufVnpfUUtrAd3uTX3qzEzkdNu3IQ
Z0Pzl1fBrNeO3qTbcH3NfWv1xMW8SbuLWeVdzHpvaFPmLp414DFJAJtAD5G5RZ1511vYnuFBTZa/
KGAqntepzlBE7611n1asSTydnjsL031q6Mit0SRe1W5TrDTHuJBEvF1AlfMXZaX31/4sWU9m8Tpi
BHTsjcEzdtG/6dtl2ctVN4ve21n+brB+OQvKlB2IVs8i+RTT0Hk1USziKbadB/tNUD+9ievFmGnE
OlMgIm+vHHdlzkr8knsdT7DRvikkm6vVjE41N0aZqQ7DvusRTzXr+tkAexcAY8KrQM6yf4wOhKF3
40Cs2ewLqB3DuXcBuJ05SmIbsLLOeaid3L7mZsfWJi318IkLWN+YY59RQr+ZD2YbgpwNCUViYxPh
dYoVsxb3IHjjr57Tgf8O+0Ay3abe3Gd9itFBvZkeUM3UJNrOXgiznm0RqSrMjLvmaGirtmbzvgjQ
+CO2Y32DDSwITAxntYzWaAdsgXrR0k6aZtW3GZle5NNRs68K5ICXk1TtUy6dsSBZZ8zOW1eyMHed
ZlnHGiXOaHX6pVs76qlmitFgHgMOeFlnoW6iUi2VvbJDCycF4cs+bpZuABSoZyFbl6Fgz8kV4eFm
6IT36JMq6y866aPWSdDdMnNj3E5mt7JI0iyyUcd/MRmPdc20e9s4unv0Ria+rJyCCGKPm47AS6ux
3bAxtV5rAGr5tmDCPG58vYEcix6HEC52hnV42ZgWLYdSOW4eNzQmHnrkgfOsGm+4ZvqFTdQO7PJw
otbg7n9swm5XtWl2HOBBPXJbsm+cnMdBFPveMevGBjpBUjPDV9NjPwVSw2QTDSSBguVbVqGuUFtA
sXH+v6Dx32J1SovuVLAvFuhtYXxRn/7esOTs9Iyw8UdV428e4NvMRP/AUIJpBAXa23SEMd03faP4
YDPBm4erFv9D/CMtwZQfdCmxkJrojb4FKXwbmphzQq5kBsOCkAmrDaDnD9A7Xfu9exwfpyUtyexw
Xqj9MK60VJNjKmvCneplOo/BgUCzuIAH7RZpOWMns+kotczdtmZVY3Ky5QGqJE/uzmnwBhWzoCFz
RztdyUEhDtDQdNWeOz5gS/EQSuGlKTZVksLAiZD+3BCzVF/LRLeGpYxTJuamRMQHwygIqDeLzvDX
takTklfHpQg+d26nFXhPcuscwY55wG3Znzp/zD4XYWLXawadxTZPsypdTHbEKkt1NWnb/eg4n0Aj
0nSauTeM25GmHZGdUl25r3MNQlo5clNZtdCUy0PsOtE1AE2yl+KpKkE8tukt96QBv14LuX8YK+dJ
jEl6NQzGqC2HTiQ4K2J43Rse/SFR4Ggmnsp4JF3AQwGCZDNp5M2QRR1gFabYX2JbGw5enFoHA4D+
DYVbtp7Xh7dsJdtHognsKxin6Y1MEwf/peXtKG3IaGI7sfY1R/pnHbMulCC0JWZAvYYDlhSpDrAo
kAvRhl885jDhTlN16BEu6HQM0ZN+OhaaY772hJqRTBRML1GfQhP1g6J8gjxuXXrtGBvrsI79apla
cXAvLQV7tW3T5iok0PyCRBtydpkrTDazp7HbJgoJ3iIOuv6e4Zz2AL6ChRkxovo9mq1wZLhVjsk6
YtkC/z4Un2OjLzGjuOXSEA14kEEPsLJmDjtiLN2pXKcFtzsKtuYMPHVFoWdW2U7SUNV7K0X/hC8g
az6lCAcrRABt/RKk/nBndzkwndpqfDgijeYupd+658SkknTLqE2pVeNZRK+Wce1dYoBQJeuCGGEu
RQsRA6Om8ui8n+QAK3wsc2sdd9j1NswI5EtGP4roXZW2vwQCWUxrpxQkXmpeGufMl3DssqMLP9JF
09Gm0YCV0B7ginHVQPvHRZv2OzuT8I44seDuIhY/nL8OFcUSHnuG8g0jxI1NuFzF2XeCjylWq9co
LuR4qJTwX1CjNjs3LlvjS6E6ShuKe6Pbmqk/8ZUa8ORuqKZDlLHwu88AsGQ+Jjbl7mlk6i+tEw6E
GRVtttKjlL/XotbODC3Kk3XXtt4nK5+m+IoHkAM7d/ARrPZjel82gfU84oZ8Qp/vIw1C3lygQsBN
S3Ix8CFdSyyMtVm/L0LygtBOORLbnMZUd4UeTRH3lCe034g02s3oYYeATzO6L15XOWKV1B7mUals
xMxDI6/11q/30Pdr7A1pC6hFefVnr7LrxzgO9QtrmEC6t3UDQzscHES4ldddzwXFY1/NUWp2j8hy
YqvQKaTb8LXiOY6587t1KrwmQl4T4uEtMsW5IFuMVOSYUnpM6+SYGYkdQv1zahOin5VDHg5w7gLv
I6CFbyU+RmQkuE0o7xZdLJ01w8HuC5kCWKONuMVx04wTXTl2xRtMhSHRXX5e+Gtlj8OWgGl7axRK
35POzdBW8DE+VV4yPUOnCRw6CZ05XNpo560Mg3OPaRwyq9ySN31aRLddp+GDUJ1j7PXemXYWwcw3
kduzW2fLjkyrzzSygNvs44x+XXcTRvWa+JS7puWWgx06mDZxguoEFE8BWqnRaQkny40/scvML2NV
2eu6pPFi7zzsSReenlvSbt3lGOJL3yYJTB4a1ZHPvk2KkHiSPiieCtIAn0CKCOJ0TYNwXHuQFVga
vbnn0xm6hQ6Y/xIvdr3saP7Gg2YPfb3oMREywnYRX/iRBihBZ81X8F2N88+IGZy7xmr5EpZ664lF
0JfxJyO3io922ffeoiyr2e3fWgzhLQQ0IfnYMY66RrLu34pCLx7qmCiBG+Hi2eUjMbnpBDoSRlNj
QX0M4xENIjBYY1rLqJnzBIuRqHOheihClT7WOGvLojpnXuQzqci8MVnJQHgXVSnV5yEMwtdQq/JV
UevRXcCwllmZYoi8IEGYCERQnbhgg1yu/dGAGRQAhd8x/2SBrOXlcLC6ckBDQ1LEoe07rLl2p4hb
VHmTXxAM3dUrcqOZ1Ln+cNUXpTmtNEK9t10a6nuDSEyS5FplLYeUXd2mNM34zKwMhCYib8ydjs98
2w2XFYu2YBFCUikWFdPqszEuinWbppm90EuL5KPSSePPskwyrKPmsR+inqR1RQ7HAsVDeV3ksn40
FSJq9ri6ySqkAUZVJ8yZFzl6GlKEZH7gsrHzxxTxLl71pt5Jh60dYg9nMTL5RqsJ58BJqR+S0rMW
YeapQ2j27O/RtpYJXGTf1nFhTxn3IdCflcFscrgWBllrro5nSPE04EGNiVVBdjoGUz6LT3wX4Gfd
3GR+271aPHy2hN6iTvOck6x6ZzVh+d5NjBHYf9f1vTnY5s5NbMmlqyilG9ewXsiM8zu8WJ131RqY
JhLVt+QXIWI8GLDQkKRGLTpMgzhsk4E9KZVRPJxNZom6Och14i98ROo2N/J13GeYmo0hyMelhQaE
EYZj+MkyRCCzrePRixdTVCb7KYLFLWJLHQa+ameu2zBz8SLrCPrPLTEat/VHj+8ZFtTM/eJgIMlm
Xl55aaXKvUFQxDKlaTJClgsf5/OgiWdmtGLl10Z2XcakJ5Vqiqw13ai10+2muNczPdoysJswoJVg
L8IEtmgvkgldsxPoC0PG8iKDP/DFiOB5rCuc2UunagocU569nJoS9zCG4y9DYBRXDqj28wzDAizx
JA4uaruWa5NFFPuiN7wlrWBDzSXkp3Qy45HJghruHSsir8+mh3zxwzK8TH3NPEPIIQn4SLkKF33R
GDxAAaY8ddYogQ6VLnwus9O5AfjBk9RZMC2CqBs+aU6ofUpaC+Zt3MQDoc2xsw3dQl56umMe0Osk
r7ze6orImfGzN7URiVjFWFOeRRVCwa5yGxK0egK74rq3absDcnAWjj2O125QuRtwHv3DhOphI8H7
nTzhUGqwLuvZINU+unO/arJqKUoz2PJR9WdGAHZsRdhhdR0xai8pX2acbTMp7lRwQhq1LlgARMj9
tTbftg1Lnz1RCnpAgiC8mY0yQuOiLgqooLLviAOpUYZsoi7tSFStXAz/Ea7TI7jbKV3mxE01kM08
iJvupNM/I592vKU/9tVT30RVvKqiELxKNCn/PHIE2T82yoc93xBvwt8dNacglDzUEEUZN0knOf+1
y9BlgR25ZbiVqgfLCsubolR1sqjoh27i0fJWndExFBa6PEa17V4aqGRfIqN01YJvQSbWPHeZCkvR
0tImbmXfohuPMNWPlASLvqrDjFzvqYjATNDCXLl22kEt72xrJ5XIc8I1LSDEqstcUK48KrpzETFv
ggCTBsFy8HK5dZiA3SglinI1eb0Lys9T1mucap69ItTVuPdsbcSor+nPrqvalhH6xJOcfWEzY1/Z
Py7KthwKCDQxjJa6CXEVqeBVYD26aSZETKNXGNGGGhMLteVG60nm1XXrInCt0ECdGVntOpuRqi1e
WQOp7V7outyn2gR6nlP7J68vxY2eUWKsqXo9bVmlnq3WQ+Egz8XBoL2SxDZRo7XVHrEQzIWpYxen
+dmwrqTJZWLxXMacPrTGuoz1/GR6ZSGu4o6tpN8h6OZvw1WuK5zaWZH3YqEXFVHqfKvEEgxSeMU4
2NqbiRtcJnqKApO5qjTogATowwrfSreUHDK4J6SW12QgsH8oeukC5fV89ZojLrsBKwRAXuHgXDF0
bVdarE0rrJJ8yNWAgtysmrXjY6AA70IFuBgDdm1B1jTrdtL5LhaQQRe2HhSnUGnVMRkmljmDgUBd
a/D2jxa5l1tfS+VwTnCZdkdIE0dxQ4b1ASISWjJ6zlnS3voHgiqrL6PyZkioZQQ3PLkLwD0i8o7w
bjP8D3pSoIbOza0O+YPoORlvgPAM66AS5RpgaDKQ4CCnvRVD3tF0wJ9ezrqqHev2nBdtHcD06B+p
A8o1JlQgLkZEVLzdqJwtgT9hjUNdBf0owDARJ+1NbgH6XaQmopqFT+jDAi9zdM2SWq2NwkNjZLue
fdRTQTllJ/5aOP5n6lRvq3NNrvO2QXvoecEnUaXN51HHeLDQIsNfBaNIPgV1Lq+DyUDXRHcQH/pc
U9tJS1NibZvhbhj8K6zSxhMcp/AaxTDXpRhQk/mOPRzcsut3VqGCIwO/hPPuRAc3VB5QUhnZ2zzR
xWNZTWxM8ih35gqdxX6o66g65VdWQBBTzSaR/tnmFrOLKEsJdh3i+hynRsuXyKQ5rkB3gzuM4ob9
46T2OUyMaIFKPb8jqdfdUMI5V44zWLfWxDxXOrV2ldcQHHrM2BiQY6e7K7UCeiJ3XrF3ApfU5KEL
77j0/KfQETC5XL9lyegFKCTrtgNIozJynmDsENjsh85VZwmnWpSuOwJ1cPTk3NbMdhdiG7+IxIQz
z0fgd1mpMkDmqhOWC7tJ7v00GNlJt3Fzi9c+um9V212hRLK/cO0aV0ZYeS8lLKFN5cU+CG4xQkHS
eguJYZNT1RtJvAcoE59LXQfKoHfMMtKG+xUQGgF33E3jvcracNVmaUqIRsl00dOGvSicAoW5NRw1
xZtNJAdhxptBmWqCHL42W7HHikddyG9Dv6rrgGoivVG38B7duyZsNfYjbYEOsIDHvSmTGBWkKYbz
PNcMhBxULvbSkmF2Z6QGbGCri69yS7xKmkGWR2Sb1auBvdgZKjT5MD8+112SsH/BY9c/ODyU+Syn
Mnc3bZc3zwlateX/pjlXhZ+ZameONhWNqoZhpTtxzrwYZuolZgMgm8qL9fq/J//gvwHxN0u0gpd8
dWpO6ze383X7Uo03L4SyNPX3Wdr806s8ypq7/M/9o98/0C//3liSpDZhosx8p9t6e1lvr/n3jqJO
TdS0zy9//5sQHxxKGKDvcCrnP3icVZ4F334sjQ82RkgHlzNpQfxBNsXv++Es/avz8Ptv8esJ/f1/
8+4NfKFtbeYPIojy7MfhKoX5v3cKfnWEd6eAtQMMTsHw9cf37n1g4GtyK8bGNf/5Ovb9n3/vp+eU
8DkCYqroS/PjezcJl/i1zf4PfwGcDwy20QUbXz//X30BQEaivZvPzxwXxZ+vZ/svdBIsEKtfv5X/
uHT/6EkwvA8WGQaWaZtfz8KvrgIHOKaLTBE25tufr1fdX+gkAF1A3WjP4Pufuh3A+nR1HVXADJJ9
fy3oOkQFz+ZymP98/dr9hc6ACSCCHcnPvXtoE5xJnc/6/bt3IapKXej2X+8WMN+af/JtCzK2bVpy
PD+/9e130fVKfoJs/euP/3K3AHoB49c7uT98CyC4HMG84DHwWycBlrOBmN3gEvt6Afz1TsJXLjXR
Fj91DQj3g8MmkmGJ85vnQX7gC4eS3za+nof/VwXBv3wo4rD4J6z3H/0yCOfDm0rcMb59Gbjh/3g3
5IKZywKHEIm3P1+vwH/rbvhv/KP/rDNBFarntwozeql/qxD9V//ge2H1zz//VlTtn//+t7lyevcP
58zKr7/7HwXo/3l3nt8Kvx9++L0QfPs93/7v397gP//qd7/r+7v6/h930Ut1qr6E49sPxm8v8+KU
UqOS5xWS83VVnZ5f6vDHAsiw57zLf7ygv//t3cv94VL43ePX9Sn9fpj5zMx77+9/n9/VnzvsIsI2
8f0w82FxHPE9+tlXuztV4yk7fT/Q2ycJyYTr8KePHKWnL0SO/uaZtnSTW8vP/orDCR72L//rlBb/
8cvxhHM8eneGuL3OBebP/pbjqcpo0ZL3J+nrQ+Knj833VP3qwJZH5/CzBz47JXV4eu5fXorvB3v7
bGeJx/f/8Oe/jOen53D87WtolpD8/C+4fI54+d+P83YVkbX0X/BhXrXP7ZfwBe31u4M7pmF8/w9/
/rRctVl8+vz9OG+vGj/tf8GrvjnFJ8bHp3e96rdH089+U26jJIne3bBM3Z1L05898N0pjdQvF6fn
9vux5jPyrbL+2YO/Id9+69byrYv92eM/vtTNL4uXLDipd6/+a4H8s0c/P3Ez54bVVO++49+az589
+raNOfq73p5m8+t456ePnb97xfNxse1+P0V//tLhqfyfGZsX/1eZyflJwAs4PYtzgCf6FcMMB6Ue
YJvZ0BDUIKPUH47ABeq4qyfgNANwOzI1CsrMqvwi1OYA0GjgGRmgoS9K/RACXIUPvKQBZhAofKCG
UyH3Yr8NFcMuY+D9HRR7xA943yooqmEmQX0C3NsM2lhJaTD5gha2l6K2DMC9G9DKS4oNJ3CtOu4z
LuH9KnyNSZfUnIxMmCsRwWJChRyH805bYBoChrwJFepDglceURg6zhmEL7Gh0Aoijhal0AaC26Ep
ND8kFZi10tHb+IgRPkpzALErlCn0BvbyiJzbmfE6BFt/Ez5DgdkLhc08YNOG2sUGqUjOSU0ssgMA
AAD//w==</cx:binary>
              </cx:geoCache>
            </cx:geography>
          </cx:layoutPr>
        </cx:series>
      </cx:plotAreaRegion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solidFill>
      <a:schemeClr val="lt1"/>
    </a:solidFill>
    <a:ln w="25400" cap="flat" cmpd="sng" algn="ctr">
      <a:solidFill>
        <a:schemeClr val="accent2"/>
      </a:solidFill>
      <a:prstDash val="solid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65688</xdr:colOff>
      <xdr:row>8</xdr:row>
      <xdr:rowOff>131999</xdr:rowOff>
    </xdr:from>
    <xdr:to>
      <xdr:col>7</xdr:col>
      <xdr:colOff>143435</xdr:colOff>
      <xdr:row>24</xdr:row>
      <xdr:rowOff>161365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A54925-D30D-420D-A424-DCD8DBB07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271430</xdr:colOff>
      <xdr:row>8</xdr:row>
      <xdr:rowOff>123063</xdr:rowOff>
    </xdr:from>
    <xdr:to>
      <xdr:col>18</xdr:col>
      <xdr:colOff>286870</xdr:colOff>
      <xdr:row>24</xdr:row>
      <xdr:rowOff>154608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E83D5E-F24E-4525-85DF-5D34A4CD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440030</xdr:colOff>
      <xdr:row>42</xdr:row>
      <xdr:rowOff>97957</xdr:rowOff>
    </xdr:from>
    <xdr:to>
      <xdr:col>18</xdr:col>
      <xdr:colOff>257578</xdr:colOff>
      <xdr:row>58</xdr:row>
      <xdr:rowOff>88347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EC235F-5776-4D6B-A58F-5EED6B2A5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87654</xdr:colOff>
      <xdr:row>42</xdr:row>
      <xdr:rowOff>87487</xdr:rowOff>
    </xdr:from>
    <xdr:to>
      <xdr:col>8</xdr:col>
      <xdr:colOff>354169</xdr:colOff>
      <xdr:row>58</xdr:row>
      <xdr:rowOff>84667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53B649-0305-4E5F-A5DF-3EA7D7990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66261</xdr:colOff>
      <xdr:row>25</xdr:row>
      <xdr:rowOff>116884</xdr:rowOff>
    </xdr:from>
    <xdr:to>
      <xdr:col>7</xdr:col>
      <xdr:colOff>139521</xdr:colOff>
      <xdr:row>41</xdr:row>
      <xdr:rowOff>127907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8340E3-364B-463B-8BC7-1CA85EC53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236114</xdr:colOff>
      <xdr:row>25</xdr:row>
      <xdr:rowOff>122368</xdr:rowOff>
    </xdr:from>
    <xdr:to>
      <xdr:col>18</xdr:col>
      <xdr:colOff>277091</xdr:colOff>
      <xdr:row>41</xdr:row>
      <xdr:rowOff>133748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EC86901-240E-47C4-A8F6-0615C9DC75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8654" y="5524948"/>
              <a:ext cx="7790517" cy="2937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mple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 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udData" displayName="FraudData" ref="A1:P1001">
  <autoFilter ref="A1:P1001" xr:uid="{00000000-0009-0000-0100-000001000000}"/>
  <tableColumns count="16">
    <tableColumn id="1" xr3:uid="{00000000-0010-0000-0000-000001000000}" name="transaction_id"/>
    <tableColumn id="2" xr3:uid="{00000000-0010-0000-0000-000002000000}" name="state"/>
    <tableColumn id="3" xr3:uid="{00000000-0010-0000-0000-000003000000}" name="region"/>
    <tableColumn id="4" xr3:uid="{00000000-0010-0000-0000-000004000000}" name="amount"/>
    <tableColumn id="5" xr3:uid="{00000000-0010-0000-0000-000005000000}" name="transaction_hour"/>
    <tableColumn id="6" xr3:uid="{00000000-0010-0000-0000-000006000000}" name="merchant_category"/>
    <tableColumn id="7" xr3:uid="{00000000-0010-0000-0000-000007000000}" name="payment_channel"/>
    <tableColumn id="8" xr3:uid="{00000000-0010-0000-0000-000008000000}" name="transaction_type"/>
    <tableColumn id="9" xr3:uid="{00000000-0010-0000-0000-000009000000}" name="device_type"/>
    <tableColumn id="10" xr3:uid="{00000000-0010-0000-0000-00000A000000}" name="foreign_transaction"/>
    <tableColumn id="11" xr3:uid="{00000000-0010-0000-0000-00000B000000}" name="location_mismatch"/>
    <tableColumn id="12" xr3:uid="{00000000-0010-0000-0000-00000C000000}" name="device_trust_score"/>
    <tableColumn id="13" xr3:uid="{00000000-0010-0000-0000-00000D000000}" name="velocity_last_24h"/>
    <tableColumn id="14" xr3:uid="{00000000-0010-0000-0000-00000E000000}" name="is_fraud"/>
    <tableColumn id="15" xr3:uid="{00000000-0010-0000-0000-00000F000000}" name="fraud_status"/>
    <tableColumn id="16" xr3:uid="{54110216-17E6-4466-A2A4-93F6B2486793}" name="amount_range" dataDxfId="0">
      <calculatedColumnFormula array="1">_xlfn.IFS(FraudData[[#This Row],[amount]]&lt;500,"Below 500",FraudData[[#This Row],[amount]]&lt;1000,"500-999",FraudData[[#This Row],[amount]]&lt;5000,"1000-4999",FraudData[[#This Row],[amount]]&lt;10000,"5000-9999",TRUE,"10000+")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showGridLines="0" zoomScale="55" workbookViewId="0">
      <pane ySplit="1" topLeftCell="A953" activePane="bottomLeft" state="frozen"/>
      <selection pane="bottomLeft" activeCell="A2" sqref="A2"/>
    </sheetView>
  </sheetViews>
  <sheetFormatPr defaultRowHeight="14.4"/>
  <cols>
    <col min="1" max="2" width="16" customWidth="1"/>
    <col min="3" max="4" width="14" customWidth="1"/>
    <col min="5" max="5" width="18" customWidth="1"/>
    <col min="6" max="6" width="19" customWidth="1"/>
    <col min="7" max="7" width="17" customWidth="1"/>
    <col min="8" max="8" width="18" customWidth="1"/>
    <col min="9" max="9" width="14" customWidth="1"/>
    <col min="10" max="10" width="21" customWidth="1"/>
    <col min="11" max="11" width="19" customWidth="1"/>
    <col min="12" max="12" width="20" customWidth="1"/>
    <col min="13" max="13" width="19" customWidth="1"/>
    <col min="14" max="15" width="14" customWidth="1"/>
    <col min="16" max="16" width="15.77734375" bestFit="1" customWidth="1"/>
  </cols>
  <sheetData>
    <row r="1" spans="1:16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 t="s">
        <v>111</v>
      </c>
    </row>
    <row r="2" spans="1:16">
      <c r="A2">
        <v>8416</v>
      </c>
      <c r="B2" t="s">
        <v>15</v>
      </c>
      <c r="C2" t="s">
        <v>16</v>
      </c>
      <c r="D2">
        <v>8.85</v>
      </c>
      <c r="E2">
        <v>22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>
        <v>53</v>
      </c>
      <c r="M2">
        <v>0</v>
      </c>
      <c r="N2">
        <v>0</v>
      </c>
      <c r="O2" t="s">
        <v>21</v>
      </c>
      <c r="P2" t="str" cm="1">
        <f t="array" ref="P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" spans="1:16">
      <c r="A3">
        <v>5307</v>
      </c>
      <c r="B3" t="s">
        <v>22</v>
      </c>
      <c r="C3" t="s">
        <v>23</v>
      </c>
      <c r="D3">
        <v>116.67</v>
      </c>
      <c r="E3">
        <v>19</v>
      </c>
      <c r="F3" t="s">
        <v>17</v>
      </c>
      <c r="G3" t="s">
        <v>24</v>
      </c>
      <c r="H3" t="s">
        <v>25</v>
      </c>
      <c r="I3" t="s">
        <v>26</v>
      </c>
      <c r="J3">
        <v>0</v>
      </c>
      <c r="K3">
        <v>1</v>
      </c>
      <c r="L3">
        <v>49</v>
      </c>
      <c r="M3">
        <v>3</v>
      </c>
      <c r="N3">
        <v>0</v>
      </c>
      <c r="O3" t="s">
        <v>21</v>
      </c>
      <c r="P3" t="str" cm="1">
        <f t="array" ref="P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" spans="1:16">
      <c r="A4">
        <v>7561</v>
      </c>
      <c r="B4" t="s">
        <v>27</v>
      </c>
      <c r="C4" t="s">
        <v>28</v>
      </c>
      <c r="D4">
        <v>239.4</v>
      </c>
      <c r="E4">
        <v>9</v>
      </c>
      <c r="F4" t="s">
        <v>29</v>
      </c>
      <c r="G4" t="s">
        <v>24</v>
      </c>
      <c r="H4" t="s">
        <v>30</v>
      </c>
      <c r="I4" t="s">
        <v>31</v>
      </c>
      <c r="J4">
        <v>0</v>
      </c>
      <c r="K4">
        <v>0</v>
      </c>
      <c r="L4">
        <v>65</v>
      </c>
      <c r="M4">
        <v>1</v>
      </c>
      <c r="N4">
        <v>0</v>
      </c>
      <c r="O4" t="s">
        <v>21</v>
      </c>
      <c r="P4" t="str" cm="1">
        <f t="array" ref="P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" spans="1:16">
      <c r="A5">
        <v>7153</v>
      </c>
      <c r="B5" t="s">
        <v>32</v>
      </c>
      <c r="C5" t="s">
        <v>33</v>
      </c>
      <c r="D5">
        <v>590.37</v>
      </c>
      <c r="E5">
        <v>1</v>
      </c>
      <c r="F5" t="s">
        <v>34</v>
      </c>
      <c r="G5" t="s">
        <v>18</v>
      </c>
      <c r="H5" t="s">
        <v>35</v>
      </c>
      <c r="I5" t="s">
        <v>20</v>
      </c>
      <c r="J5">
        <v>1</v>
      </c>
      <c r="K5">
        <v>0</v>
      </c>
      <c r="L5">
        <v>37</v>
      </c>
      <c r="M5">
        <v>1</v>
      </c>
      <c r="N5">
        <v>1</v>
      </c>
      <c r="O5" t="s">
        <v>36</v>
      </c>
      <c r="P5" t="str" cm="1">
        <f t="array" ref="P5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" spans="1:16">
      <c r="A6">
        <v>417</v>
      </c>
      <c r="B6" t="s">
        <v>37</v>
      </c>
      <c r="C6" t="s">
        <v>16</v>
      </c>
      <c r="D6">
        <v>62.46</v>
      </c>
      <c r="E6">
        <v>12</v>
      </c>
      <c r="F6" t="s">
        <v>34</v>
      </c>
      <c r="G6" t="s">
        <v>38</v>
      </c>
      <c r="H6" t="s">
        <v>35</v>
      </c>
      <c r="I6" t="s">
        <v>20</v>
      </c>
      <c r="J6">
        <v>0</v>
      </c>
      <c r="K6">
        <v>1</v>
      </c>
      <c r="L6">
        <v>64</v>
      </c>
      <c r="M6">
        <v>2</v>
      </c>
      <c r="N6">
        <v>0</v>
      </c>
      <c r="O6" t="s">
        <v>21</v>
      </c>
      <c r="P6" t="str" cm="1">
        <f t="array" ref="P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" spans="1:16">
      <c r="A7">
        <v>1414</v>
      </c>
      <c r="B7" t="s">
        <v>39</v>
      </c>
      <c r="C7" t="s">
        <v>28</v>
      </c>
      <c r="D7">
        <v>10.58</v>
      </c>
      <c r="E7">
        <v>12</v>
      </c>
      <c r="F7" t="s">
        <v>17</v>
      </c>
      <c r="G7" t="s">
        <v>24</v>
      </c>
      <c r="H7" t="s">
        <v>25</v>
      </c>
      <c r="I7" t="s">
        <v>26</v>
      </c>
      <c r="J7">
        <v>0</v>
      </c>
      <c r="K7">
        <v>0</v>
      </c>
      <c r="L7">
        <v>35</v>
      </c>
      <c r="M7">
        <v>1</v>
      </c>
      <c r="N7">
        <v>0</v>
      </c>
      <c r="O7" t="s">
        <v>21</v>
      </c>
      <c r="P7" t="str" cm="1">
        <f t="array" ref="P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" spans="1:16">
      <c r="A8">
        <v>6784</v>
      </c>
      <c r="B8" t="s">
        <v>40</v>
      </c>
      <c r="C8" t="s">
        <v>33</v>
      </c>
      <c r="D8">
        <v>68.349999999999994</v>
      </c>
      <c r="E8">
        <v>10</v>
      </c>
      <c r="F8" t="s">
        <v>17</v>
      </c>
      <c r="G8" t="s">
        <v>24</v>
      </c>
      <c r="H8" t="s">
        <v>41</v>
      </c>
      <c r="I8" t="s">
        <v>20</v>
      </c>
      <c r="J8">
        <v>1</v>
      </c>
      <c r="K8">
        <v>0</v>
      </c>
      <c r="L8">
        <v>83</v>
      </c>
      <c r="M8">
        <v>1</v>
      </c>
      <c r="N8">
        <v>0</v>
      </c>
      <c r="O8" t="s">
        <v>21</v>
      </c>
      <c r="P8" t="str" cm="1">
        <f t="array" ref="P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" spans="1:16">
      <c r="A9">
        <v>9182</v>
      </c>
      <c r="B9" t="s">
        <v>42</v>
      </c>
      <c r="C9" t="s">
        <v>43</v>
      </c>
      <c r="D9">
        <v>94.33</v>
      </c>
      <c r="E9">
        <v>7</v>
      </c>
      <c r="F9" t="s">
        <v>34</v>
      </c>
      <c r="G9" t="s">
        <v>44</v>
      </c>
      <c r="H9" t="s">
        <v>30</v>
      </c>
      <c r="I9" t="s">
        <v>26</v>
      </c>
      <c r="J9">
        <v>0</v>
      </c>
      <c r="K9">
        <v>0</v>
      </c>
      <c r="L9">
        <v>41</v>
      </c>
      <c r="M9">
        <v>2</v>
      </c>
      <c r="N9">
        <v>0</v>
      </c>
      <c r="O9" t="s">
        <v>21</v>
      </c>
      <c r="P9" t="str" cm="1">
        <f t="array" ref="P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" spans="1:16">
      <c r="A10">
        <v>4407</v>
      </c>
      <c r="B10" t="s">
        <v>37</v>
      </c>
      <c r="C10" t="s">
        <v>16</v>
      </c>
      <c r="D10">
        <v>535.6</v>
      </c>
      <c r="E10">
        <v>21</v>
      </c>
      <c r="F10" t="s">
        <v>17</v>
      </c>
      <c r="G10" t="s">
        <v>24</v>
      </c>
      <c r="H10" t="s">
        <v>35</v>
      </c>
      <c r="I10" t="s">
        <v>20</v>
      </c>
      <c r="J10">
        <v>0</v>
      </c>
      <c r="K10">
        <v>0</v>
      </c>
      <c r="L10">
        <v>48</v>
      </c>
      <c r="M10">
        <v>2</v>
      </c>
      <c r="N10">
        <v>0</v>
      </c>
      <c r="O10" t="s">
        <v>21</v>
      </c>
      <c r="P10" t="str" cm="1">
        <f t="array" ref="P10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11" spans="1:16">
      <c r="A11">
        <v>1333</v>
      </c>
      <c r="B11" t="s">
        <v>45</v>
      </c>
      <c r="C11" t="s">
        <v>28</v>
      </c>
      <c r="D11">
        <v>46.68</v>
      </c>
      <c r="E11">
        <v>20</v>
      </c>
      <c r="F11" t="s">
        <v>29</v>
      </c>
      <c r="G11" t="s">
        <v>24</v>
      </c>
      <c r="H11" t="s">
        <v>19</v>
      </c>
      <c r="I11" t="s">
        <v>26</v>
      </c>
      <c r="J11">
        <v>0</v>
      </c>
      <c r="K11">
        <v>0</v>
      </c>
      <c r="L11">
        <v>64</v>
      </c>
      <c r="M11">
        <v>1</v>
      </c>
      <c r="N11">
        <v>0</v>
      </c>
      <c r="O11" t="s">
        <v>21</v>
      </c>
      <c r="P11" t="str" cm="1">
        <f t="array" ref="P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" spans="1:16">
      <c r="A12">
        <v>8833</v>
      </c>
      <c r="B12" t="s">
        <v>46</v>
      </c>
      <c r="C12" t="s">
        <v>23</v>
      </c>
      <c r="D12">
        <v>229.4</v>
      </c>
      <c r="E12">
        <v>5</v>
      </c>
      <c r="F12" t="s">
        <v>34</v>
      </c>
      <c r="G12" t="s">
        <v>24</v>
      </c>
      <c r="H12" t="s">
        <v>30</v>
      </c>
      <c r="I12" t="s">
        <v>25</v>
      </c>
      <c r="J12">
        <v>1</v>
      </c>
      <c r="K12">
        <v>0</v>
      </c>
      <c r="L12">
        <v>36</v>
      </c>
      <c r="M12">
        <v>3</v>
      </c>
      <c r="N12">
        <v>0</v>
      </c>
      <c r="O12" t="s">
        <v>21</v>
      </c>
      <c r="P12" t="str" cm="1">
        <f t="array" ref="P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" spans="1:16">
      <c r="A13">
        <v>4699</v>
      </c>
      <c r="B13" t="s">
        <v>47</v>
      </c>
      <c r="C13" t="s">
        <v>16</v>
      </c>
      <c r="D13">
        <v>26.81</v>
      </c>
      <c r="E13">
        <v>3</v>
      </c>
      <c r="F13" t="s">
        <v>17</v>
      </c>
      <c r="G13" t="s">
        <v>24</v>
      </c>
      <c r="H13" t="s">
        <v>48</v>
      </c>
      <c r="I13" t="s">
        <v>26</v>
      </c>
      <c r="J13">
        <v>0</v>
      </c>
      <c r="K13">
        <v>0</v>
      </c>
      <c r="L13">
        <v>81</v>
      </c>
      <c r="M13">
        <v>2</v>
      </c>
      <c r="N13">
        <v>0</v>
      </c>
      <c r="O13" t="s">
        <v>21</v>
      </c>
      <c r="P13" t="str" cm="1">
        <f t="array" ref="P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" spans="1:16">
      <c r="A14">
        <v>469</v>
      </c>
      <c r="B14" t="s">
        <v>49</v>
      </c>
      <c r="C14" t="s">
        <v>16</v>
      </c>
      <c r="D14">
        <v>45.55</v>
      </c>
      <c r="E14">
        <v>10</v>
      </c>
      <c r="F14" t="s">
        <v>50</v>
      </c>
      <c r="G14" t="s">
        <v>24</v>
      </c>
      <c r="H14" t="s">
        <v>35</v>
      </c>
      <c r="I14" t="s">
        <v>31</v>
      </c>
      <c r="J14">
        <v>0</v>
      </c>
      <c r="K14">
        <v>0</v>
      </c>
      <c r="L14">
        <v>26</v>
      </c>
      <c r="M14">
        <v>2</v>
      </c>
      <c r="N14">
        <v>0</v>
      </c>
      <c r="O14" t="s">
        <v>21</v>
      </c>
      <c r="P14" t="str" cm="1">
        <f t="array" ref="P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" spans="1:16">
      <c r="A15">
        <v>1241</v>
      </c>
      <c r="B15" t="s">
        <v>51</v>
      </c>
      <c r="C15" t="s">
        <v>52</v>
      </c>
      <c r="D15">
        <v>365.34</v>
      </c>
      <c r="E15">
        <v>7</v>
      </c>
      <c r="F15" t="s">
        <v>34</v>
      </c>
      <c r="G15" t="s">
        <v>18</v>
      </c>
      <c r="H15" t="s">
        <v>48</v>
      </c>
      <c r="I15" t="s">
        <v>26</v>
      </c>
      <c r="J15">
        <v>0</v>
      </c>
      <c r="K15">
        <v>0</v>
      </c>
      <c r="L15">
        <v>77</v>
      </c>
      <c r="M15">
        <v>1</v>
      </c>
      <c r="N15">
        <v>0</v>
      </c>
      <c r="O15" t="s">
        <v>21</v>
      </c>
      <c r="P15" t="str" cm="1">
        <f t="array" ref="P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" spans="1:16">
      <c r="A16">
        <v>2371</v>
      </c>
      <c r="B16" t="s">
        <v>32</v>
      </c>
      <c r="C16" t="s">
        <v>33</v>
      </c>
      <c r="D16">
        <v>190.15</v>
      </c>
      <c r="E16">
        <v>9</v>
      </c>
      <c r="F16" t="s">
        <v>29</v>
      </c>
      <c r="G16" t="s">
        <v>53</v>
      </c>
      <c r="H16" t="s">
        <v>19</v>
      </c>
      <c r="I16" t="s">
        <v>20</v>
      </c>
      <c r="J16">
        <v>0</v>
      </c>
      <c r="K16">
        <v>0</v>
      </c>
      <c r="L16">
        <v>68</v>
      </c>
      <c r="M16">
        <v>1</v>
      </c>
      <c r="N16">
        <v>0</v>
      </c>
      <c r="O16" t="s">
        <v>21</v>
      </c>
      <c r="P16" t="str" cm="1">
        <f t="array" ref="P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" spans="1:16">
      <c r="A17">
        <v>2899</v>
      </c>
      <c r="B17" t="s">
        <v>54</v>
      </c>
      <c r="C17" t="s">
        <v>28</v>
      </c>
      <c r="D17">
        <v>99.68</v>
      </c>
      <c r="E17">
        <v>22</v>
      </c>
      <c r="F17" t="s">
        <v>50</v>
      </c>
      <c r="G17" t="s">
        <v>24</v>
      </c>
      <c r="H17" t="s">
        <v>48</v>
      </c>
      <c r="I17" t="s">
        <v>20</v>
      </c>
      <c r="J17">
        <v>0</v>
      </c>
      <c r="K17">
        <v>0</v>
      </c>
      <c r="L17">
        <v>60</v>
      </c>
      <c r="M17">
        <v>0</v>
      </c>
      <c r="N17">
        <v>0</v>
      </c>
      <c r="O17" t="s">
        <v>21</v>
      </c>
      <c r="P17" t="str" cm="1">
        <f t="array" ref="P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" spans="1:16">
      <c r="A18">
        <v>798</v>
      </c>
      <c r="B18" t="s">
        <v>55</v>
      </c>
      <c r="C18" t="s">
        <v>28</v>
      </c>
      <c r="D18">
        <v>149.88999999999999</v>
      </c>
      <c r="E18">
        <v>5</v>
      </c>
      <c r="F18" t="s">
        <v>34</v>
      </c>
      <c r="G18" t="s">
        <v>38</v>
      </c>
      <c r="H18" t="s">
        <v>48</v>
      </c>
      <c r="I18" t="s">
        <v>31</v>
      </c>
      <c r="J18">
        <v>0</v>
      </c>
      <c r="K18">
        <v>0</v>
      </c>
      <c r="L18">
        <v>27</v>
      </c>
      <c r="M18">
        <v>4</v>
      </c>
      <c r="N18">
        <v>0</v>
      </c>
      <c r="O18" t="s">
        <v>21</v>
      </c>
      <c r="P18" t="str" cm="1">
        <f t="array" ref="P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" spans="1:16">
      <c r="A19">
        <v>289</v>
      </c>
      <c r="B19" t="s">
        <v>56</v>
      </c>
      <c r="C19" t="s">
        <v>52</v>
      </c>
      <c r="D19">
        <v>60.77</v>
      </c>
      <c r="E19">
        <v>3</v>
      </c>
      <c r="F19" t="s">
        <v>29</v>
      </c>
      <c r="G19" t="s">
        <v>38</v>
      </c>
      <c r="H19" t="s">
        <v>25</v>
      </c>
      <c r="I19" t="s">
        <v>20</v>
      </c>
      <c r="J19">
        <v>1</v>
      </c>
      <c r="K19">
        <v>0</v>
      </c>
      <c r="L19">
        <v>51</v>
      </c>
      <c r="M19">
        <v>5</v>
      </c>
      <c r="N19">
        <v>1</v>
      </c>
      <c r="O19" t="s">
        <v>36</v>
      </c>
      <c r="P19" t="str" cm="1">
        <f t="array" ref="P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" spans="1:16">
      <c r="A20">
        <v>5837</v>
      </c>
      <c r="B20" t="s">
        <v>56</v>
      </c>
      <c r="C20" t="s">
        <v>52</v>
      </c>
      <c r="D20">
        <v>391.82</v>
      </c>
      <c r="E20">
        <v>12</v>
      </c>
      <c r="F20" t="s">
        <v>19</v>
      </c>
      <c r="G20" t="s">
        <v>53</v>
      </c>
      <c r="H20" t="s">
        <v>35</v>
      </c>
      <c r="I20" t="s">
        <v>26</v>
      </c>
      <c r="J20">
        <v>0</v>
      </c>
      <c r="K20">
        <v>0</v>
      </c>
      <c r="L20">
        <v>32</v>
      </c>
      <c r="M20">
        <v>1</v>
      </c>
      <c r="N20">
        <v>0</v>
      </c>
      <c r="O20" t="s">
        <v>21</v>
      </c>
      <c r="P20" t="str" cm="1">
        <f t="array" ref="P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" spans="1:16">
      <c r="A21">
        <v>7786</v>
      </c>
      <c r="B21" t="s">
        <v>32</v>
      </c>
      <c r="C21" t="s">
        <v>33</v>
      </c>
      <c r="D21">
        <v>120.93</v>
      </c>
      <c r="E21">
        <v>20</v>
      </c>
      <c r="F21" t="s">
        <v>17</v>
      </c>
      <c r="G21" t="s">
        <v>24</v>
      </c>
      <c r="H21" t="s">
        <v>48</v>
      </c>
      <c r="I21" t="s">
        <v>20</v>
      </c>
      <c r="J21">
        <v>0</v>
      </c>
      <c r="K21">
        <v>0</v>
      </c>
      <c r="L21">
        <v>61</v>
      </c>
      <c r="M21">
        <v>2</v>
      </c>
      <c r="N21">
        <v>0</v>
      </c>
      <c r="O21" t="s">
        <v>21</v>
      </c>
      <c r="P21" t="str" cm="1">
        <f t="array" ref="P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" spans="1:16">
      <c r="A22">
        <v>9023</v>
      </c>
      <c r="B22" t="s">
        <v>39</v>
      </c>
      <c r="C22" t="s">
        <v>28</v>
      </c>
      <c r="D22">
        <v>119.44</v>
      </c>
      <c r="E22">
        <v>21</v>
      </c>
      <c r="F22" t="s">
        <v>19</v>
      </c>
      <c r="G22" t="s">
        <v>24</v>
      </c>
      <c r="H22" t="s">
        <v>30</v>
      </c>
      <c r="I22" t="s">
        <v>20</v>
      </c>
      <c r="J22">
        <v>0</v>
      </c>
      <c r="K22">
        <v>0</v>
      </c>
      <c r="L22">
        <v>63</v>
      </c>
      <c r="M22">
        <v>3</v>
      </c>
      <c r="N22">
        <v>0</v>
      </c>
      <c r="O22" t="s">
        <v>21</v>
      </c>
      <c r="P22" t="str" cm="1">
        <f t="array" ref="P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" spans="1:16">
      <c r="A23">
        <v>3534</v>
      </c>
      <c r="B23" t="s">
        <v>37</v>
      </c>
      <c r="C23" t="s">
        <v>16</v>
      </c>
      <c r="D23">
        <v>64.040000000000006</v>
      </c>
      <c r="E23">
        <v>4</v>
      </c>
      <c r="F23" t="s">
        <v>29</v>
      </c>
      <c r="G23" t="s">
        <v>24</v>
      </c>
      <c r="H23" t="s">
        <v>35</v>
      </c>
      <c r="I23" t="s">
        <v>20</v>
      </c>
      <c r="J23">
        <v>0</v>
      </c>
      <c r="K23">
        <v>0</v>
      </c>
      <c r="L23">
        <v>46</v>
      </c>
      <c r="M23">
        <v>2</v>
      </c>
      <c r="N23">
        <v>0</v>
      </c>
      <c r="O23" t="s">
        <v>21</v>
      </c>
      <c r="P23" t="str" cm="1">
        <f t="array" ref="P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" spans="1:16">
      <c r="A24">
        <v>4404</v>
      </c>
      <c r="B24" t="s">
        <v>45</v>
      </c>
      <c r="C24" t="s">
        <v>28</v>
      </c>
      <c r="D24">
        <v>79.81</v>
      </c>
      <c r="E24">
        <v>14</v>
      </c>
      <c r="F24" t="s">
        <v>50</v>
      </c>
      <c r="G24" t="s">
        <v>18</v>
      </c>
      <c r="H24" t="s">
        <v>35</v>
      </c>
      <c r="I24" t="s">
        <v>26</v>
      </c>
      <c r="J24">
        <v>0</v>
      </c>
      <c r="K24">
        <v>0</v>
      </c>
      <c r="L24">
        <v>98</v>
      </c>
      <c r="M24">
        <v>1</v>
      </c>
      <c r="N24">
        <v>0</v>
      </c>
      <c r="O24" t="s">
        <v>21</v>
      </c>
      <c r="P24" t="str" cm="1">
        <f t="array" ref="P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" spans="1:16">
      <c r="A25">
        <v>7605</v>
      </c>
      <c r="B25" t="s">
        <v>57</v>
      </c>
      <c r="C25" t="s">
        <v>43</v>
      </c>
      <c r="D25">
        <v>69.47</v>
      </c>
      <c r="E25">
        <v>17</v>
      </c>
      <c r="F25" t="s">
        <v>29</v>
      </c>
      <c r="G25" t="s">
        <v>38</v>
      </c>
      <c r="H25" t="s">
        <v>19</v>
      </c>
      <c r="I25" t="s">
        <v>26</v>
      </c>
      <c r="J25">
        <v>0</v>
      </c>
      <c r="K25">
        <v>0</v>
      </c>
      <c r="L25">
        <v>69</v>
      </c>
      <c r="M25">
        <v>3</v>
      </c>
      <c r="N25">
        <v>0</v>
      </c>
      <c r="O25" t="s">
        <v>21</v>
      </c>
      <c r="P25" t="str" cm="1">
        <f t="array" ref="P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" spans="1:16">
      <c r="A26">
        <v>3085</v>
      </c>
      <c r="B26" t="s">
        <v>37</v>
      </c>
      <c r="C26" t="s">
        <v>16</v>
      </c>
      <c r="D26">
        <v>217.4</v>
      </c>
      <c r="E26">
        <v>9</v>
      </c>
      <c r="F26" t="s">
        <v>50</v>
      </c>
      <c r="G26" t="s">
        <v>38</v>
      </c>
      <c r="H26" t="s">
        <v>41</v>
      </c>
      <c r="I26" t="s">
        <v>26</v>
      </c>
      <c r="J26">
        <v>0</v>
      </c>
      <c r="K26">
        <v>0</v>
      </c>
      <c r="L26">
        <v>64</v>
      </c>
      <c r="M26">
        <v>0</v>
      </c>
      <c r="N26">
        <v>0</v>
      </c>
      <c r="O26" t="s">
        <v>21</v>
      </c>
      <c r="P26" t="str" cm="1">
        <f t="array" ref="P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" spans="1:16">
      <c r="A27">
        <v>2914</v>
      </c>
      <c r="B27" t="s">
        <v>58</v>
      </c>
      <c r="C27" t="s">
        <v>43</v>
      </c>
      <c r="D27">
        <v>613.17999999999995</v>
      </c>
      <c r="E27">
        <v>13</v>
      </c>
      <c r="F27" t="s">
        <v>19</v>
      </c>
      <c r="G27" t="s">
        <v>44</v>
      </c>
      <c r="H27" t="s">
        <v>25</v>
      </c>
      <c r="I27" t="s">
        <v>31</v>
      </c>
      <c r="J27">
        <v>0</v>
      </c>
      <c r="K27">
        <v>0</v>
      </c>
      <c r="L27">
        <v>77</v>
      </c>
      <c r="M27">
        <v>2</v>
      </c>
      <c r="N27">
        <v>0</v>
      </c>
      <c r="O27" t="s">
        <v>21</v>
      </c>
      <c r="P27" t="str" cm="1">
        <f t="array" ref="P2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28" spans="1:16">
      <c r="A28">
        <v>6842</v>
      </c>
      <c r="B28" t="s">
        <v>32</v>
      </c>
      <c r="C28" t="s">
        <v>33</v>
      </c>
      <c r="D28">
        <v>32.880000000000003</v>
      </c>
      <c r="E28">
        <v>10</v>
      </c>
      <c r="F28" t="s">
        <v>50</v>
      </c>
      <c r="G28" t="s">
        <v>44</v>
      </c>
      <c r="H28" t="s">
        <v>25</v>
      </c>
      <c r="I28" t="s">
        <v>31</v>
      </c>
      <c r="J28">
        <v>0</v>
      </c>
      <c r="K28">
        <v>0</v>
      </c>
      <c r="L28">
        <v>33</v>
      </c>
      <c r="M28">
        <v>3</v>
      </c>
      <c r="N28">
        <v>0</v>
      </c>
      <c r="O28" t="s">
        <v>21</v>
      </c>
      <c r="P28" t="str" cm="1">
        <f t="array" ref="P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" spans="1:16">
      <c r="A29">
        <v>5670</v>
      </c>
      <c r="B29" t="s">
        <v>22</v>
      </c>
      <c r="C29" t="s">
        <v>23</v>
      </c>
      <c r="D29">
        <v>247.76</v>
      </c>
      <c r="E29">
        <v>17</v>
      </c>
      <c r="F29" t="s">
        <v>29</v>
      </c>
      <c r="G29" t="s">
        <v>18</v>
      </c>
      <c r="H29" t="s">
        <v>48</v>
      </c>
      <c r="I29" t="s">
        <v>26</v>
      </c>
      <c r="J29">
        <v>0</v>
      </c>
      <c r="K29">
        <v>1</v>
      </c>
      <c r="L29">
        <v>68</v>
      </c>
      <c r="M29">
        <v>4</v>
      </c>
      <c r="N29">
        <v>0</v>
      </c>
      <c r="O29" t="s">
        <v>21</v>
      </c>
      <c r="P29" t="str" cm="1">
        <f t="array" ref="P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" spans="1:16">
      <c r="A30">
        <v>5080</v>
      </c>
      <c r="B30" t="s">
        <v>51</v>
      </c>
      <c r="C30" t="s">
        <v>52</v>
      </c>
      <c r="D30">
        <v>100.91</v>
      </c>
      <c r="E30">
        <v>1</v>
      </c>
      <c r="F30" t="s">
        <v>17</v>
      </c>
      <c r="G30" t="s">
        <v>24</v>
      </c>
      <c r="H30" t="s">
        <v>35</v>
      </c>
      <c r="I30" t="s">
        <v>20</v>
      </c>
      <c r="J30">
        <v>0</v>
      </c>
      <c r="K30">
        <v>0</v>
      </c>
      <c r="L30">
        <v>72</v>
      </c>
      <c r="M30">
        <v>0</v>
      </c>
      <c r="N30">
        <v>0</v>
      </c>
      <c r="O30" t="s">
        <v>21</v>
      </c>
      <c r="P30" t="str" cm="1">
        <f t="array" ref="P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" spans="1:16">
      <c r="A31">
        <v>8132</v>
      </c>
      <c r="B31" t="s">
        <v>37</v>
      </c>
      <c r="C31" t="s">
        <v>16</v>
      </c>
      <c r="D31">
        <v>168.83</v>
      </c>
      <c r="E31">
        <v>13</v>
      </c>
      <c r="F31" t="s">
        <v>34</v>
      </c>
      <c r="G31" t="s">
        <v>53</v>
      </c>
      <c r="H31" t="s">
        <v>30</v>
      </c>
      <c r="I31" t="s">
        <v>25</v>
      </c>
      <c r="J31">
        <v>0</v>
      </c>
      <c r="K31">
        <v>0</v>
      </c>
      <c r="L31">
        <v>77</v>
      </c>
      <c r="M31">
        <v>0</v>
      </c>
      <c r="N31">
        <v>0</v>
      </c>
      <c r="O31" t="s">
        <v>21</v>
      </c>
      <c r="P31" t="str" cm="1">
        <f t="array" ref="P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" spans="1:16">
      <c r="A32">
        <v>945</v>
      </c>
      <c r="B32" t="s">
        <v>47</v>
      </c>
      <c r="C32" t="s">
        <v>16</v>
      </c>
      <c r="D32">
        <v>41.62</v>
      </c>
      <c r="E32">
        <v>19</v>
      </c>
      <c r="F32" t="s">
        <v>50</v>
      </c>
      <c r="G32" t="s">
        <v>24</v>
      </c>
      <c r="H32" t="s">
        <v>19</v>
      </c>
      <c r="I32" t="s">
        <v>20</v>
      </c>
      <c r="J32">
        <v>0</v>
      </c>
      <c r="K32">
        <v>0</v>
      </c>
      <c r="L32">
        <v>93</v>
      </c>
      <c r="M32">
        <v>2</v>
      </c>
      <c r="N32">
        <v>0</v>
      </c>
      <c r="O32" t="s">
        <v>21</v>
      </c>
      <c r="P32" t="str" cm="1">
        <f t="array" ref="P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" spans="1:16">
      <c r="A33">
        <v>2426</v>
      </c>
      <c r="B33" t="s">
        <v>45</v>
      </c>
      <c r="C33" t="s">
        <v>28</v>
      </c>
      <c r="D33">
        <v>414.62</v>
      </c>
      <c r="E33">
        <v>12</v>
      </c>
      <c r="F33" t="s">
        <v>34</v>
      </c>
      <c r="G33" t="s">
        <v>44</v>
      </c>
      <c r="H33" t="s">
        <v>48</v>
      </c>
      <c r="I33" t="s">
        <v>31</v>
      </c>
      <c r="J33">
        <v>0</v>
      </c>
      <c r="K33">
        <v>0</v>
      </c>
      <c r="L33">
        <v>82</v>
      </c>
      <c r="M33">
        <v>2</v>
      </c>
      <c r="N33">
        <v>0</v>
      </c>
      <c r="O33" t="s">
        <v>21</v>
      </c>
      <c r="P33" t="str" cm="1">
        <f t="array" ref="P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" spans="1:16">
      <c r="A34">
        <v>3140</v>
      </c>
      <c r="B34" t="s">
        <v>59</v>
      </c>
      <c r="C34" t="s">
        <v>16</v>
      </c>
      <c r="D34">
        <v>12.76</v>
      </c>
      <c r="E34">
        <v>1</v>
      </c>
      <c r="F34" t="s">
        <v>29</v>
      </c>
      <c r="G34" t="s">
        <v>24</v>
      </c>
      <c r="H34" t="s">
        <v>41</v>
      </c>
      <c r="I34" t="s">
        <v>20</v>
      </c>
      <c r="J34">
        <v>0</v>
      </c>
      <c r="K34">
        <v>0</v>
      </c>
      <c r="L34">
        <v>31</v>
      </c>
      <c r="M34">
        <v>6</v>
      </c>
      <c r="N34">
        <v>1</v>
      </c>
      <c r="O34" t="s">
        <v>36</v>
      </c>
      <c r="P34" t="str" cm="1">
        <f t="array" ref="P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" spans="1:16">
      <c r="A35">
        <v>4066</v>
      </c>
      <c r="B35" t="s">
        <v>57</v>
      </c>
      <c r="C35" t="s">
        <v>43</v>
      </c>
      <c r="D35">
        <v>19.53</v>
      </c>
      <c r="E35">
        <v>19</v>
      </c>
      <c r="F35" t="s">
        <v>17</v>
      </c>
      <c r="G35" t="s">
        <v>44</v>
      </c>
      <c r="H35" t="s">
        <v>35</v>
      </c>
      <c r="I35" t="s">
        <v>31</v>
      </c>
      <c r="J35">
        <v>1</v>
      </c>
      <c r="K35">
        <v>0</v>
      </c>
      <c r="L35">
        <v>39</v>
      </c>
      <c r="M35">
        <v>6</v>
      </c>
      <c r="N35">
        <v>1</v>
      </c>
      <c r="O35" t="s">
        <v>36</v>
      </c>
      <c r="P35" t="str" cm="1">
        <f t="array" ref="P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" spans="1:16">
      <c r="A36">
        <v>9060</v>
      </c>
      <c r="B36" t="s">
        <v>45</v>
      </c>
      <c r="C36" t="s">
        <v>28</v>
      </c>
      <c r="D36">
        <v>40.43</v>
      </c>
      <c r="E36">
        <v>11</v>
      </c>
      <c r="F36" t="s">
        <v>19</v>
      </c>
      <c r="G36" t="s">
        <v>44</v>
      </c>
      <c r="H36" t="s">
        <v>35</v>
      </c>
      <c r="I36" t="s">
        <v>26</v>
      </c>
      <c r="J36">
        <v>1</v>
      </c>
      <c r="K36">
        <v>0</v>
      </c>
      <c r="L36">
        <v>38</v>
      </c>
      <c r="M36">
        <v>5</v>
      </c>
      <c r="N36">
        <v>1</v>
      </c>
      <c r="O36" t="s">
        <v>36</v>
      </c>
      <c r="P36" t="str" cm="1">
        <f t="array" ref="P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" spans="1:16">
      <c r="A37">
        <v>8138</v>
      </c>
      <c r="B37" t="s">
        <v>58</v>
      </c>
      <c r="C37" t="s">
        <v>43</v>
      </c>
      <c r="D37">
        <v>597.45000000000005</v>
      </c>
      <c r="E37">
        <v>7</v>
      </c>
      <c r="F37" t="s">
        <v>17</v>
      </c>
      <c r="G37" t="s">
        <v>44</v>
      </c>
      <c r="H37" t="s">
        <v>30</v>
      </c>
      <c r="I37" t="s">
        <v>31</v>
      </c>
      <c r="J37">
        <v>0</v>
      </c>
      <c r="K37">
        <v>0</v>
      </c>
      <c r="L37">
        <v>54</v>
      </c>
      <c r="M37">
        <v>6</v>
      </c>
      <c r="N37">
        <v>0</v>
      </c>
      <c r="O37" t="s">
        <v>21</v>
      </c>
      <c r="P37" t="str" cm="1">
        <f t="array" ref="P3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38" spans="1:16">
      <c r="A38">
        <v>1911</v>
      </c>
      <c r="B38" t="s">
        <v>56</v>
      </c>
      <c r="C38" t="s">
        <v>52</v>
      </c>
      <c r="D38">
        <v>65.650000000000006</v>
      </c>
      <c r="E38">
        <v>11</v>
      </c>
      <c r="F38" t="s">
        <v>17</v>
      </c>
      <c r="G38" t="s">
        <v>24</v>
      </c>
      <c r="H38" t="s">
        <v>30</v>
      </c>
      <c r="I38" t="s">
        <v>20</v>
      </c>
      <c r="J38">
        <v>0</v>
      </c>
      <c r="K38">
        <v>0</v>
      </c>
      <c r="L38">
        <v>61</v>
      </c>
      <c r="M38">
        <v>4</v>
      </c>
      <c r="N38">
        <v>0</v>
      </c>
      <c r="O38" t="s">
        <v>21</v>
      </c>
      <c r="P38" t="str" cm="1">
        <f t="array" ref="P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" spans="1:16">
      <c r="A39">
        <v>4801</v>
      </c>
      <c r="B39" t="s">
        <v>32</v>
      </c>
      <c r="C39" t="s">
        <v>33</v>
      </c>
      <c r="D39">
        <v>23.8</v>
      </c>
      <c r="E39">
        <v>12</v>
      </c>
      <c r="F39" t="s">
        <v>17</v>
      </c>
      <c r="G39" t="s">
        <v>38</v>
      </c>
      <c r="H39" t="s">
        <v>35</v>
      </c>
      <c r="I39" t="s">
        <v>20</v>
      </c>
      <c r="J39">
        <v>0</v>
      </c>
      <c r="K39">
        <v>0</v>
      </c>
      <c r="L39">
        <v>59</v>
      </c>
      <c r="M39">
        <v>1</v>
      </c>
      <c r="N39">
        <v>0</v>
      </c>
      <c r="O39" t="s">
        <v>21</v>
      </c>
      <c r="P39" t="str" cm="1">
        <f t="array" ref="P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" spans="1:16">
      <c r="A40">
        <v>8840</v>
      </c>
      <c r="B40" t="s">
        <v>45</v>
      </c>
      <c r="C40" t="s">
        <v>28</v>
      </c>
      <c r="D40">
        <v>9.07</v>
      </c>
      <c r="E40">
        <v>23</v>
      </c>
      <c r="F40" t="s">
        <v>50</v>
      </c>
      <c r="G40" t="s">
        <v>24</v>
      </c>
      <c r="H40" t="s">
        <v>35</v>
      </c>
      <c r="I40" t="s">
        <v>20</v>
      </c>
      <c r="J40">
        <v>0</v>
      </c>
      <c r="K40">
        <v>0</v>
      </c>
      <c r="L40">
        <v>37</v>
      </c>
      <c r="M40">
        <v>1</v>
      </c>
      <c r="N40">
        <v>0</v>
      </c>
      <c r="O40" t="s">
        <v>21</v>
      </c>
      <c r="P40" t="str" cm="1">
        <f t="array" ref="P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" spans="1:16">
      <c r="A41">
        <v>8131</v>
      </c>
      <c r="B41" t="s">
        <v>45</v>
      </c>
      <c r="C41" t="s">
        <v>28</v>
      </c>
      <c r="D41">
        <v>271.22000000000003</v>
      </c>
      <c r="E41">
        <v>4</v>
      </c>
      <c r="F41" t="s">
        <v>29</v>
      </c>
      <c r="G41" t="s">
        <v>18</v>
      </c>
      <c r="H41" t="s">
        <v>41</v>
      </c>
      <c r="I41" t="s">
        <v>25</v>
      </c>
      <c r="J41">
        <v>1</v>
      </c>
      <c r="K41">
        <v>0</v>
      </c>
      <c r="L41">
        <v>35</v>
      </c>
      <c r="M41">
        <v>1</v>
      </c>
      <c r="N41">
        <v>0</v>
      </c>
      <c r="O41" t="s">
        <v>21</v>
      </c>
      <c r="P41" t="str" cm="1">
        <f t="array" ref="P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" spans="1:16">
      <c r="A42">
        <v>5449</v>
      </c>
      <c r="B42" t="s">
        <v>49</v>
      </c>
      <c r="C42" t="s">
        <v>16</v>
      </c>
      <c r="D42">
        <v>141.66</v>
      </c>
      <c r="E42">
        <v>1</v>
      </c>
      <c r="F42" t="s">
        <v>34</v>
      </c>
      <c r="G42" t="s">
        <v>24</v>
      </c>
      <c r="H42" t="s">
        <v>48</v>
      </c>
      <c r="I42" t="s">
        <v>26</v>
      </c>
      <c r="J42">
        <v>0</v>
      </c>
      <c r="K42">
        <v>0</v>
      </c>
      <c r="L42">
        <v>34</v>
      </c>
      <c r="M42">
        <v>2</v>
      </c>
      <c r="N42">
        <v>0</v>
      </c>
      <c r="O42" t="s">
        <v>21</v>
      </c>
      <c r="P42" t="str" cm="1">
        <f t="array" ref="P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" spans="1:16">
      <c r="A43">
        <v>4268</v>
      </c>
      <c r="B43" t="s">
        <v>57</v>
      </c>
      <c r="C43" t="s">
        <v>43</v>
      </c>
      <c r="D43">
        <v>11.41</v>
      </c>
      <c r="E43">
        <v>21</v>
      </c>
      <c r="F43" t="s">
        <v>17</v>
      </c>
      <c r="G43" t="s">
        <v>38</v>
      </c>
      <c r="H43" t="s">
        <v>19</v>
      </c>
      <c r="I43" t="s">
        <v>20</v>
      </c>
      <c r="J43">
        <v>0</v>
      </c>
      <c r="K43">
        <v>0</v>
      </c>
      <c r="L43">
        <v>70</v>
      </c>
      <c r="M43">
        <v>3</v>
      </c>
      <c r="N43">
        <v>0</v>
      </c>
      <c r="O43" t="s">
        <v>21</v>
      </c>
      <c r="P43" t="str" cm="1">
        <f t="array" ref="P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" spans="1:16">
      <c r="A44">
        <v>2295</v>
      </c>
      <c r="B44" t="s">
        <v>54</v>
      </c>
      <c r="C44" t="s">
        <v>28</v>
      </c>
      <c r="D44">
        <v>0.99</v>
      </c>
      <c r="E44">
        <v>4</v>
      </c>
      <c r="F44" t="s">
        <v>29</v>
      </c>
      <c r="G44" t="s">
        <v>24</v>
      </c>
      <c r="H44" t="s">
        <v>35</v>
      </c>
      <c r="I44" t="s">
        <v>20</v>
      </c>
      <c r="J44">
        <v>0</v>
      </c>
      <c r="K44">
        <v>0</v>
      </c>
      <c r="L44">
        <v>60</v>
      </c>
      <c r="M44">
        <v>2</v>
      </c>
      <c r="N44">
        <v>0</v>
      </c>
      <c r="O44" t="s">
        <v>21</v>
      </c>
      <c r="P44" t="str" cm="1">
        <f t="array" ref="P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" spans="1:16">
      <c r="A45">
        <v>7255</v>
      </c>
      <c r="B45" t="s">
        <v>32</v>
      </c>
      <c r="C45" t="s">
        <v>33</v>
      </c>
      <c r="D45">
        <v>69.59</v>
      </c>
      <c r="E45">
        <v>3</v>
      </c>
      <c r="F45" t="s">
        <v>17</v>
      </c>
      <c r="G45" t="s">
        <v>24</v>
      </c>
      <c r="H45" t="s">
        <v>30</v>
      </c>
      <c r="I45" t="s">
        <v>20</v>
      </c>
      <c r="J45">
        <v>0</v>
      </c>
      <c r="K45">
        <v>0</v>
      </c>
      <c r="L45">
        <v>36</v>
      </c>
      <c r="M45">
        <v>1</v>
      </c>
      <c r="N45">
        <v>0</v>
      </c>
      <c r="O45" t="s">
        <v>21</v>
      </c>
      <c r="P45" t="str" cm="1">
        <f t="array" ref="P4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" spans="1:16">
      <c r="A46">
        <v>8110</v>
      </c>
      <c r="B46" t="s">
        <v>60</v>
      </c>
      <c r="C46" t="s">
        <v>23</v>
      </c>
      <c r="D46">
        <v>264.86</v>
      </c>
      <c r="E46">
        <v>23</v>
      </c>
      <c r="F46" t="s">
        <v>34</v>
      </c>
      <c r="G46" t="s">
        <v>24</v>
      </c>
      <c r="H46" t="s">
        <v>35</v>
      </c>
      <c r="I46" t="s">
        <v>31</v>
      </c>
      <c r="J46">
        <v>0</v>
      </c>
      <c r="K46">
        <v>0</v>
      </c>
      <c r="L46">
        <v>29</v>
      </c>
      <c r="M46">
        <v>1</v>
      </c>
      <c r="N46">
        <v>0</v>
      </c>
      <c r="O46" t="s">
        <v>21</v>
      </c>
      <c r="P46" t="str" cm="1">
        <f t="array" ref="P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" spans="1:16">
      <c r="A47">
        <v>8769</v>
      </c>
      <c r="B47" t="s">
        <v>46</v>
      </c>
      <c r="C47" t="s">
        <v>23</v>
      </c>
      <c r="D47">
        <v>91.52</v>
      </c>
      <c r="E47">
        <v>3</v>
      </c>
      <c r="F47" t="s">
        <v>19</v>
      </c>
      <c r="G47" t="s">
        <v>18</v>
      </c>
      <c r="H47" t="s">
        <v>48</v>
      </c>
      <c r="I47" t="s">
        <v>20</v>
      </c>
      <c r="J47">
        <v>0</v>
      </c>
      <c r="K47">
        <v>0</v>
      </c>
      <c r="L47">
        <v>99</v>
      </c>
      <c r="M47">
        <v>4</v>
      </c>
      <c r="N47">
        <v>0</v>
      </c>
      <c r="O47" t="s">
        <v>21</v>
      </c>
      <c r="P47" t="str" cm="1">
        <f t="array" ref="P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" spans="1:16">
      <c r="A48">
        <v>1179</v>
      </c>
      <c r="B48" t="s">
        <v>57</v>
      </c>
      <c r="C48" t="s">
        <v>43</v>
      </c>
      <c r="D48">
        <v>257.64999999999998</v>
      </c>
      <c r="E48">
        <v>15</v>
      </c>
      <c r="F48" t="s">
        <v>29</v>
      </c>
      <c r="G48" t="s">
        <v>18</v>
      </c>
      <c r="H48" t="s">
        <v>41</v>
      </c>
      <c r="I48" t="s">
        <v>31</v>
      </c>
      <c r="J48">
        <v>0</v>
      </c>
      <c r="K48">
        <v>0</v>
      </c>
      <c r="L48">
        <v>60</v>
      </c>
      <c r="M48">
        <v>1</v>
      </c>
      <c r="N48">
        <v>0</v>
      </c>
      <c r="O48" t="s">
        <v>21</v>
      </c>
      <c r="P48" t="str" cm="1">
        <f t="array" ref="P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" spans="1:16">
      <c r="A49">
        <v>1469</v>
      </c>
      <c r="B49" t="s">
        <v>40</v>
      </c>
      <c r="C49" t="s">
        <v>33</v>
      </c>
      <c r="D49">
        <v>368.29</v>
      </c>
      <c r="E49">
        <v>18</v>
      </c>
      <c r="F49" t="s">
        <v>50</v>
      </c>
      <c r="G49" t="s">
        <v>24</v>
      </c>
      <c r="H49" t="s">
        <v>35</v>
      </c>
      <c r="I49" t="s">
        <v>20</v>
      </c>
      <c r="J49">
        <v>0</v>
      </c>
      <c r="K49">
        <v>0</v>
      </c>
      <c r="L49">
        <v>29</v>
      </c>
      <c r="M49">
        <v>4</v>
      </c>
      <c r="N49">
        <v>0</v>
      </c>
      <c r="O49" t="s">
        <v>21</v>
      </c>
      <c r="P49" t="str" cm="1">
        <f t="array" ref="P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" spans="1:16">
      <c r="A50">
        <v>3158</v>
      </c>
      <c r="B50" t="s">
        <v>61</v>
      </c>
      <c r="C50" t="s">
        <v>28</v>
      </c>
      <c r="D50">
        <v>11.91</v>
      </c>
      <c r="E50">
        <v>17</v>
      </c>
      <c r="F50" t="s">
        <v>17</v>
      </c>
      <c r="G50" t="s">
        <v>44</v>
      </c>
      <c r="H50" t="s">
        <v>35</v>
      </c>
      <c r="I50" t="s">
        <v>20</v>
      </c>
      <c r="J50">
        <v>0</v>
      </c>
      <c r="K50">
        <v>0</v>
      </c>
      <c r="L50">
        <v>35</v>
      </c>
      <c r="M50">
        <v>3</v>
      </c>
      <c r="N50">
        <v>0</v>
      </c>
      <c r="O50" t="s">
        <v>21</v>
      </c>
      <c r="P50" t="str" cm="1">
        <f t="array" ref="P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" spans="1:16">
      <c r="A51">
        <v>2147</v>
      </c>
      <c r="B51" t="s">
        <v>47</v>
      </c>
      <c r="C51" t="s">
        <v>16</v>
      </c>
      <c r="D51">
        <v>110.67</v>
      </c>
      <c r="E51">
        <v>2</v>
      </c>
      <c r="F51" t="s">
        <v>19</v>
      </c>
      <c r="G51" t="s">
        <v>24</v>
      </c>
      <c r="H51" t="s">
        <v>48</v>
      </c>
      <c r="I51" t="s">
        <v>20</v>
      </c>
      <c r="J51">
        <v>1</v>
      </c>
      <c r="K51">
        <v>0</v>
      </c>
      <c r="L51">
        <v>43</v>
      </c>
      <c r="M51">
        <v>5</v>
      </c>
      <c r="N51">
        <v>1</v>
      </c>
      <c r="O51" t="s">
        <v>36</v>
      </c>
      <c r="P51" t="str" cm="1">
        <f t="array" ref="P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" spans="1:16">
      <c r="A52">
        <v>4234</v>
      </c>
      <c r="B52" t="s">
        <v>15</v>
      </c>
      <c r="C52" t="s">
        <v>16</v>
      </c>
      <c r="D52">
        <v>436.13</v>
      </c>
      <c r="E52">
        <v>22</v>
      </c>
      <c r="F52" t="s">
        <v>50</v>
      </c>
      <c r="G52" t="s">
        <v>44</v>
      </c>
      <c r="H52" t="s">
        <v>41</v>
      </c>
      <c r="I52" t="s">
        <v>20</v>
      </c>
      <c r="J52">
        <v>0</v>
      </c>
      <c r="K52">
        <v>0</v>
      </c>
      <c r="L52">
        <v>41</v>
      </c>
      <c r="M52">
        <v>0</v>
      </c>
      <c r="N52">
        <v>0</v>
      </c>
      <c r="O52" t="s">
        <v>21</v>
      </c>
      <c r="P52" t="str" cm="1">
        <f t="array" ref="P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" spans="1:16">
      <c r="A53">
        <v>8244</v>
      </c>
      <c r="B53" t="s">
        <v>49</v>
      </c>
      <c r="C53" t="s">
        <v>16</v>
      </c>
      <c r="D53">
        <v>95.51</v>
      </c>
      <c r="E53">
        <v>18</v>
      </c>
      <c r="F53" t="s">
        <v>17</v>
      </c>
      <c r="G53" t="s">
        <v>24</v>
      </c>
      <c r="H53" t="s">
        <v>35</v>
      </c>
      <c r="I53" t="s">
        <v>20</v>
      </c>
      <c r="J53">
        <v>0</v>
      </c>
      <c r="K53">
        <v>0</v>
      </c>
      <c r="L53">
        <v>83</v>
      </c>
      <c r="M53">
        <v>2</v>
      </c>
      <c r="N53">
        <v>0</v>
      </c>
      <c r="O53" t="s">
        <v>21</v>
      </c>
      <c r="P53" t="str" cm="1">
        <f t="array" ref="P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" spans="1:16">
      <c r="A54">
        <v>8599</v>
      </c>
      <c r="B54" t="s">
        <v>59</v>
      </c>
      <c r="C54" t="s">
        <v>16</v>
      </c>
      <c r="D54">
        <v>132.31</v>
      </c>
      <c r="E54">
        <v>16</v>
      </c>
      <c r="F54" t="s">
        <v>17</v>
      </c>
      <c r="G54" t="s">
        <v>24</v>
      </c>
      <c r="H54" t="s">
        <v>35</v>
      </c>
      <c r="I54" t="s">
        <v>26</v>
      </c>
      <c r="J54">
        <v>0</v>
      </c>
      <c r="K54">
        <v>1</v>
      </c>
      <c r="L54">
        <v>53</v>
      </c>
      <c r="M54">
        <v>1</v>
      </c>
      <c r="N54">
        <v>0</v>
      </c>
      <c r="O54" t="s">
        <v>21</v>
      </c>
      <c r="P54" t="str" cm="1">
        <f t="array" ref="P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" spans="1:16">
      <c r="A55">
        <v>4044</v>
      </c>
      <c r="B55" t="s">
        <v>49</v>
      </c>
      <c r="C55" t="s">
        <v>16</v>
      </c>
      <c r="D55">
        <v>173.88</v>
      </c>
      <c r="E55">
        <v>6</v>
      </c>
      <c r="F55" t="s">
        <v>19</v>
      </c>
      <c r="G55" t="s">
        <v>18</v>
      </c>
      <c r="H55" t="s">
        <v>35</v>
      </c>
      <c r="I55" t="s">
        <v>25</v>
      </c>
      <c r="J55">
        <v>0</v>
      </c>
      <c r="K55">
        <v>0</v>
      </c>
      <c r="L55">
        <v>65</v>
      </c>
      <c r="M55">
        <v>1</v>
      </c>
      <c r="N55">
        <v>0</v>
      </c>
      <c r="O55" t="s">
        <v>21</v>
      </c>
      <c r="P55" t="str" cm="1">
        <f t="array" ref="P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" spans="1:16">
      <c r="A56">
        <v>1405</v>
      </c>
      <c r="B56" t="s">
        <v>49</v>
      </c>
      <c r="C56" t="s">
        <v>16</v>
      </c>
      <c r="D56">
        <v>196.21</v>
      </c>
      <c r="E56">
        <v>17</v>
      </c>
      <c r="F56" t="s">
        <v>34</v>
      </c>
      <c r="G56" t="s">
        <v>38</v>
      </c>
      <c r="H56" t="s">
        <v>48</v>
      </c>
      <c r="I56" t="s">
        <v>26</v>
      </c>
      <c r="J56">
        <v>0</v>
      </c>
      <c r="K56">
        <v>1</v>
      </c>
      <c r="L56">
        <v>53</v>
      </c>
      <c r="M56">
        <v>1</v>
      </c>
      <c r="N56">
        <v>0</v>
      </c>
      <c r="O56" t="s">
        <v>21</v>
      </c>
      <c r="P56" t="str" cm="1">
        <f t="array" ref="P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" spans="1:16">
      <c r="A57">
        <v>1105</v>
      </c>
      <c r="B57" t="s">
        <v>51</v>
      </c>
      <c r="C57" t="s">
        <v>52</v>
      </c>
      <c r="D57">
        <v>950.41</v>
      </c>
      <c r="E57">
        <v>1</v>
      </c>
      <c r="F57" t="s">
        <v>19</v>
      </c>
      <c r="G57" t="s">
        <v>18</v>
      </c>
      <c r="H57" t="s">
        <v>19</v>
      </c>
      <c r="I57" t="s">
        <v>26</v>
      </c>
      <c r="J57">
        <v>0</v>
      </c>
      <c r="K57">
        <v>1</v>
      </c>
      <c r="L57">
        <v>70</v>
      </c>
      <c r="M57">
        <v>2</v>
      </c>
      <c r="N57">
        <v>1</v>
      </c>
      <c r="O57" t="s">
        <v>36</v>
      </c>
      <c r="P57" t="str" cm="1">
        <f t="array" ref="P5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8" spans="1:16">
      <c r="A58">
        <v>3592</v>
      </c>
      <c r="B58" t="s">
        <v>62</v>
      </c>
      <c r="C58" t="s">
        <v>43</v>
      </c>
      <c r="D58">
        <v>34.729999999999997</v>
      </c>
      <c r="E58">
        <v>1</v>
      </c>
      <c r="F58" t="s">
        <v>19</v>
      </c>
      <c r="G58" t="s">
        <v>24</v>
      </c>
      <c r="H58" t="s">
        <v>35</v>
      </c>
      <c r="I58" t="s">
        <v>20</v>
      </c>
      <c r="J58">
        <v>0</v>
      </c>
      <c r="K58">
        <v>0</v>
      </c>
      <c r="L58">
        <v>93</v>
      </c>
      <c r="M58">
        <v>4</v>
      </c>
      <c r="N58">
        <v>0</v>
      </c>
      <c r="O58" t="s">
        <v>21</v>
      </c>
      <c r="P58" t="str" cm="1">
        <f t="array" ref="P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" spans="1:16">
      <c r="A59">
        <v>9790</v>
      </c>
      <c r="B59" t="s">
        <v>46</v>
      </c>
      <c r="C59" t="s">
        <v>23</v>
      </c>
      <c r="D59">
        <v>3.64</v>
      </c>
      <c r="E59">
        <v>7</v>
      </c>
      <c r="F59" t="s">
        <v>17</v>
      </c>
      <c r="G59" t="s">
        <v>53</v>
      </c>
      <c r="H59" t="s">
        <v>35</v>
      </c>
      <c r="I59" t="s">
        <v>31</v>
      </c>
      <c r="J59">
        <v>0</v>
      </c>
      <c r="K59">
        <v>0</v>
      </c>
      <c r="L59">
        <v>48</v>
      </c>
      <c r="M59">
        <v>3</v>
      </c>
      <c r="N59">
        <v>0</v>
      </c>
      <c r="O59" t="s">
        <v>21</v>
      </c>
      <c r="P59" t="str" cm="1">
        <f t="array" ref="P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" spans="1:16">
      <c r="A60">
        <v>5708</v>
      </c>
      <c r="B60" t="s">
        <v>47</v>
      </c>
      <c r="C60" t="s">
        <v>16</v>
      </c>
      <c r="D60">
        <v>19.66</v>
      </c>
      <c r="E60">
        <v>1</v>
      </c>
      <c r="F60" t="s">
        <v>17</v>
      </c>
      <c r="G60" t="s">
        <v>24</v>
      </c>
      <c r="H60" t="s">
        <v>41</v>
      </c>
      <c r="I60" t="s">
        <v>25</v>
      </c>
      <c r="J60">
        <v>1</v>
      </c>
      <c r="K60">
        <v>0</v>
      </c>
      <c r="L60">
        <v>44</v>
      </c>
      <c r="M60">
        <v>5</v>
      </c>
      <c r="N60">
        <v>1</v>
      </c>
      <c r="O60" t="s">
        <v>36</v>
      </c>
      <c r="P60" t="str" cm="1">
        <f t="array" ref="P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" spans="1:16">
      <c r="A61">
        <v>6464</v>
      </c>
      <c r="B61" t="s">
        <v>54</v>
      </c>
      <c r="C61" t="s">
        <v>28</v>
      </c>
      <c r="D61">
        <v>56.17</v>
      </c>
      <c r="E61">
        <v>6</v>
      </c>
      <c r="F61" t="s">
        <v>50</v>
      </c>
      <c r="G61" t="s">
        <v>44</v>
      </c>
      <c r="H61" t="s">
        <v>35</v>
      </c>
      <c r="I61" t="s">
        <v>20</v>
      </c>
      <c r="J61">
        <v>0</v>
      </c>
      <c r="K61">
        <v>0</v>
      </c>
      <c r="L61">
        <v>85</v>
      </c>
      <c r="M61">
        <v>5</v>
      </c>
      <c r="N61">
        <v>0</v>
      </c>
      <c r="O61" t="s">
        <v>21</v>
      </c>
      <c r="P61" t="str" cm="1">
        <f t="array" ref="P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" spans="1:16">
      <c r="A62">
        <v>298</v>
      </c>
      <c r="B62" t="s">
        <v>45</v>
      </c>
      <c r="C62" t="s">
        <v>28</v>
      </c>
      <c r="D62">
        <v>43.76</v>
      </c>
      <c r="E62">
        <v>15</v>
      </c>
      <c r="F62" t="s">
        <v>29</v>
      </c>
      <c r="G62" t="s">
        <v>18</v>
      </c>
      <c r="H62" t="s">
        <v>48</v>
      </c>
      <c r="I62" t="s">
        <v>20</v>
      </c>
      <c r="J62">
        <v>0</v>
      </c>
      <c r="K62">
        <v>0</v>
      </c>
      <c r="L62">
        <v>26</v>
      </c>
      <c r="M62">
        <v>4</v>
      </c>
      <c r="N62">
        <v>0</v>
      </c>
      <c r="O62" t="s">
        <v>21</v>
      </c>
      <c r="P62" t="str" cm="1">
        <f t="array" ref="P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" spans="1:16">
      <c r="A63">
        <v>2124</v>
      </c>
      <c r="B63" t="s">
        <v>59</v>
      </c>
      <c r="C63" t="s">
        <v>16</v>
      </c>
      <c r="D63">
        <v>97.36</v>
      </c>
      <c r="E63">
        <v>5</v>
      </c>
      <c r="F63" t="s">
        <v>50</v>
      </c>
      <c r="G63" t="s">
        <v>53</v>
      </c>
      <c r="H63" t="s">
        <v>19</v>
      </c>
      <c r="I63" t="s">
        <v>31</v>
      </c>
      <c r="J63">
        <v>0</v>
      </c>
      <c r="K63">
        <v>1</v>
      </c>
      <c r="L63">
        <v>58</v>
      </c>
      <c r="M63">
        <v>0</v>
      </c>
      <c r="N63">
        <v>0</v>
      </c>
      <c r="O63" t="s">
        <v>21</v>
      </c>
      <c r="P63" t="str" cm="1">
        <f t="array" ref="P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" spans="1:16">
      <c r="A64">
        <v>6352</v>
      </c>
      <c r="B64" t="s">
        <v>15</v>
      </c>
      <c r="C64" t="s">
        <v>16</v>
      </c>
      <c r="D64">
        <v>131.44</v>
      </c>
      <c r="E64">
        <v>17</v>
      </c>
      <c r="F64" t="s">
        <v>29</v>
      </c>
      <c r="G64" t="s">
        <v>18</v>
      </c>
      <c r="H64" t="s">
        <v>25</v>
      </c>
      <c r="I64" t="s">
        <v>20</v>
      </c>
      <c r="J64">
        <v>0</v>
      </c>
      <c r="K64">
        <v>0</v>
      </c>
      <c r="L64">
        <v>62</v>
      </c>
      <c r="M64">
        <v>1</v>
      </c>
      <c r="N64">
        <v>0</v>
      </c>
      <c r="O64" t="s">
        <v>21</v>
      </c>
      <c r="P64" t="str" cm="1">
        <f t="array" ref="P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" spans="1:16">
      <c r="A65">
        <v>7037</v>
      </c>
      <c r="B65" t="s">
        <v>32</v>
      </c>
      <c r="C65" t="s">
        <v>33</v>
      </c>
      <c r="D65">
        <v>55.41</v>
      </c>
      <c r="E65">
        <v>11</v>
      </c>
      <c r="F65" t="s">
        <v>34</v>
      </c>
      <c r="G65" t="s">
        <v>24</v>
      </c>
      <c r="H65" t="s">
        <v>35</v>
      </c>
      <c r="I65" t="s">
        <v>20</v>
      </c>
      <c r="J65">
        <v>0</v>
      </c>
      <c r="K65">
        <v>0</v>
      </c>
      <c r="L65">
        <v>68</v>
      </c>
      <c r="M65">
        <v>2</v>
      </c>
      <c r="N65">
        <v>0</v>
      </c>
      <c r="O65" t="s">
        <v>21</v>
      </c>
      <c r="P65" t="str" cm="1">
        <f t="array" ref="P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" spans="1:16">
      <c r="A66">
        <v>1045</v>
      </c>
      <c r="B66" t="s">
        <v>47</v>
      </c>
      <c r="C66" t="s">
        <v>16</v>
      </c>
      <c r="D66">
        <v>390.85</v>
      </c>
      <c r="E66">
        <v>21</v>
      </c>
      <c r="F66" t="s">
        <v>34</v>
      </c>
      <c r="G66" t="s">
        <v>18</v>
      </c>
      <c r="H66" t="s">
        <v>48</v>
      </c>
      <c r="I66" t="s">
        <v>25</v>
      </c>
      <c r="J66">
        <v>1</v>
      </c>
      <c r="K66">
        <v>0</v>
      </c>
      <c r="L66">
        <v>62</v>
      </c>
      <c r="M66">
        <v>0</v>
      </c>
      <c r="N66">
        <v>0</v>
      </c>
      <c r="O66" t="s">
        <v>21</v>
      </c>
      <c r="P66" t="str" cm="1">
        <f t="array" ref="P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" spans="1:16">
      <c r="A67">
        <v>9741</v>
      </c>
      <c r="B67" t="s">
        <v>45</v>
      </c>
      <c r="C67" t="s">
        <v>28</v>
      </c>
      <c r="D67">
        <v>1.69</v>
      </c>
      <c r="E67">
        <v>12</v>
      </c>
      <c r="F67" t="s">
        <v>17</v>
      </c>
      <c r="G67" t="s">
        <v>53</v>
      </c>
      <c r="H67" t="s">
        <v>48</v>
      </c>
      <c r="I67" t="s">
        <v>26</v>
      </c>
      <c r="J67">
        <v>0</v>
      </c>
      <c r="K67">
        <v>1</v>
      </c>
      <c r="L67">
        <v>64</v>
      </c>
      <c r="M67">
        <v>3</v>
      </c>
      <c r="N67">
        <v>0</v>
      </c>
      <c r="O67" t="s">
        <v>21</v>
      </c>
      <c r="P67" t="str" cm="1">
        <f t="array" ref="P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" spans="1:16">
      <c r="A68">
        <v>848</v>
      </c>
      <c r="B68" t="s">
        <v>62</v>
      </c>
      <c r="C68" t="s">
        <v>43</v>
      </c>
      <c r="D68">
        <v>1038.25</v>
      </c>
      <c r="E68">
        <v>18</v>
      </c>
      <c r="F68" t="s">
        <v>17</v>
      </c>
      <c r="G68" t="s">
        <v>24</v>
      </c>
      <c r="H68" t="s">
        <v>35</v>
      </c>
      <c r="I68" t="s">
        <v>31</v>
      </c>
      <c r="J68">
        <v>0</v>
      </c>
      <c r="K68">
        <v>0</v>
      </c>
      <c r="L68">
        <v>65</v>
      </c>
      <c r="M68">
        <v>0</v>
      </c>
      <c r="N68">
        <v>0</v>
      </c>
      <c r="O68" t="s">
        <v>21</v>
      </c>
      <c r="P68" t="str" cm="1">
        <f t="array" ref="P68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69" spans="1:16">
      <c r="A69">
        <v>7140</v>
      </c>
      <c r="B69" t="s">
        <v>63</v>
      </c>
      <c r="C69" t="s">
        <v>28</v>
      </c>
      <c r="D69">
        <v>24.3</v>
      </c>
      <c r="E69">
        <v>23</v>
      </c>
      <c r="F69" t="s">
        <v>19</v>
      </c>
      <c r="G69" t="s">
        <v>44</v>
      </c>
      <c r="H69" t="s">
        <v>41</v>
      </c>
      <c r="I69" t="s">
        <v>26</v>
      </c>
      <c r="J69">
        <v>0</v>
      </c>
      <c r="K69">
        <v>0</v>
      </c>
      <c r="L69">
        <v>32</v>
      </c>
      <c r="M69">
        <v>6</v>
      </c>
      <c r="N69">
        <v>0</v>
      </c>
      <c r="O69" t="s">
        <v>21</v>
      </c>
      <c r="P69" t="str" cm="1">
        <f t="array" ref="P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" spans="1:16">
      <c r="A70">
        <v>2209</v>
      </c>
      <c r="B70" t="s">
        <v>64</v>
      </c>
      <c r="C70" t="s">
        <v>23</v>
      </c>
      <c r="D70">
        <v>62.21</v>
      </c>
      <c r="E70">
        <v>0</v>
      </c>
      <c r="F70" t="s">
        <v>50</v>
      </c>
      <c r="G70" t="s">
        <v>18</v>
      </c>
      <c r="H70" t="s">
        <v>35</v>
      </c>
      <c r="I70" t="s">
        <v>26</v>
      </c>
      <c r="J70">
        <v>0</v>
      </c>
      <c r="K70">
        <v>1</v>
      </c>
      <c r="L70">
        <v>30</v>
      </c>
      <c r="M70">
        <v>0</v>
      </c>
      <c r="N70">
        <v>1</v>
      </c>
      <c r="O70" t="s">
        <v>36</v>
      </c>
      <c r="P70" t="str" cm="1">
        <f t="array" ref="P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" spans="1:16">
      <c r="A71">
        <v>8547</v>
      </c>
      <c r="B71" t="s">
        <v>27</v>
      </c>
      <c r="C71" t="s">
        <v>28</v>
      </c>
      <c r="D71">
        <v>292.45999999999998</v>
      </c>
      <c r="E71">
        <v>20</v>
      </c>
      <c r="F71" t="s">
        <v>17</v>
      </c>
      <c r="G71" t="s">
        <v>24</v>
      </c>
      <c r="H71" t="s">
        <v>41</v>
      </c>
      <c r="I71" t="s">
        <v>20</v>
      </c>
      <c r="J71">
        <v>0</v>
      </c>
      <c r="K71">
        <v>0</v>
      </c>
      <c r="L71">
        <v>84</v>
      </c>
      <c r="M71">
        <v>2</v>
      </c>
      <c r="N71">
        <v>0</v>
      </c>
      <c r="O71" t="s">
        <v>21</v>
      </c>
      <c r="P71" t="str" cm="1">
        <f t="array" ref="P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" spans="1:16">
      <c r="A72">
        <v>8318</v>
      </c>
      <c r="B72" t="s">
        <v>46</v>
      </c>
      <c r="C72" t="s">
        <v>23</v>
      </c>
      <c r="D72">
        <v>247.2</v>
      </c>
      <c r="E72">
        <v>8</v>
      </c>
      <c r="F72" t="s">
        <v>29</v>
      </c>
      <c r="G72" t="s">
        <v>53</v>
      </c>
      <c r="H72" t="s">
        <v>35</v>
      </c>
      <c r="I72" t="s">
        <v>20</v>
      </c>
      <c r="J72">
        <v>0</v>
      </c>
      <c r="K72">
        <v>0</v>
      </c>
      <c r="L72">
        <v>89</v>
      </c>
      <c r="M72">
        <v>3</v>
      </c>
      <c r="N72">
        <v>0</v>
      </c>
      <c r="O72" t="s">
        <v>21</v>
      </c>
      <c r="P72" t="str" cm="1">
        <f t="array" ref="P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" spans="1:16">
      <c r="A73">
        <v>1029</v>
      </c>
      <c r="B73" t="s">
        <v>49</v>
      </c>
      <c r="C73" t="s">
        <v>16</v>
      </c>
      <c r="D73">
        <v>69.180000000000007</v>
      </c>
      <c r="E73">
        <v>6</v>
      </c>
      <c r="F73" t="s">
        <v>29</v>
      </c>
      <c r="G73" t="s">
        <v>18</v>
      </c>
      <c r="H73" t="s">
        <v>48</v>
      </c>
      <c r="I73" t="s">
        <v>31</v>
      </c>
      <c r="J73">
        <v>0</v>
      </c>
      <c r="K73">
        <v>1</v>
      </c>
      <c r="L73">
        <v>85</v>
      </c>
      <c r="M73">
        <v>1</v>
      </c>
      <c r="N73">
        <v>0</v>
      </c>
      <c r="O73" t="s">
        <v>21</v>
      </c>
      <c r="P73" t="str" cm="1">
        <f t="array" ref="P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" spans="1:16">
      <c r="A74">
        <v>6569</v>
      </c>
      <c r="B74" t="s">
        <v>59</v>
      </c>
      <c r="C74" t="s">
        <v>16</v>
      </c>
      <c r="D74">
        <v>87.93</v>
      </c>
      <c r="E74">
        <v>19</v>
      </c>
      <c r="F74" t="s">
        <v>50</v>
      </c>
      <c r="G74" t="s">
        <v>18</v>
      </c>
      <c r="H74" t="s">
        <v>25</v>
      </c>
      <c r="I74" t="s">
        <v>20</v>
      </c>
      <c r="J74">
        <v>0</v>
      </c>
      <c r="K74">
        <v>0</v>
      </c>
      <c r="L74">
        <v>39</v>
      </c>
      <c r="M74">
        <v>4</v>
      </c>
      <c r="N74">
        <v>0</v>
      </c>
      <c r="O74" t="s">
        <v>21</v>
      </c>
      <c r="P74" t="str" cm="1">
        <f t="array" ref="P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" spans="1:16">
      <c r="A75">
        <v>7907</v>
      </c>
      <c r="B75" t="s">
        <v>40</v>
      </c>
      <c r="C75" t="s">
        <v>33</v>
      </c>
      <c r="D75">
        <v>25.14</v>
      </c>
      <c r="E75">
        <v>23</v>
      </c>
      <c r="F75" t="s">
        <v>50</v>
      </c>
      <c r="G75" t="s">
        <v>24</v>
      </c>
      <c r="H75" t="s">
        <v>25</v>
      </c>
      <c r="I75" t="s">
        <v>26</v>
      </c>
      <c r="J75">
        <v>0</v>
      </c>
      <c r="K75">
        <v>0</v>
      </c>
      <c r="L75">
        <v>38</v>
      </c>
      <c r="M75">
        <v>2</v>
      </c>
      <c r="N75">
        <v>0</v>
      </c>
      <c r="O75" t="s">
        <v>21</v>
      </c>
      <c r="P75" t="str" cm="1">
        <f t="array" ref="P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" spans="1:16">
      <c r="A76">
        <v>6947</v>
      </c>
      <c r="B76" t="s">
        <v>49</v>
      </c>
      <c r="C76" t="s">
        <v>16</v>
      </c>
      <c r="D76">
        <v>26.42</v>
      </c>
      <c r="E76">
        <v>10</v>
      </c>
      <c r="F76" t="s">
        <v>50</v>
      </c>
      <c r="G76" t="s">
        <v>44</v>
      </c>
      <c r="H76" t="s">
        <v>48</v>
      </c>
      <c r="I76" t="s">
        <v>26</v>
      </c>
      <c r="J76">
        <v>0</v>
      </c>
      <c r="K76">
        <v>0</v>
      </c>
      <c r="L76">
        <v>68</v>
      </c>
      <c r="M76">
        <v>3</v>
      </c>
      <c r="N76">
        <v>0</v>
      </c>
      <c r="O76" t="s">
        <v>21</v>
      </c>
      <c r="P76" t="str" cm="1">
        <f t="array" ref="P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" spans="1:16">
      <c r="A77">
        <v>6366</v>
      </c>
      <c r="B77" t="s">
        <v>15</v>
      </c>
      <c r="C77" t="s">
        <v>16</v>
      </c>
      <c r="D77">
        <v>157.07</v>
      </c>
      <c r="E77">
        <v>10</v>
      </c>
      <c r="F77" t="s">
        <v>17</v>
      </c>
      <c r="G77" t="s">
        <v>44</v>
      </c>
      <c r="H77" t="s">
        <v>25</v>
      </c>
      <c r="I77" t="s">
        <v>20</v>
      </c>
      <c r="J77">
        <v>0</v>
      </c>
      <c r="K77">
        <v>0</v>
      </c>
      <c r="L77">
        <v>65</v>
      </c>
      <c r="M77">
        <v>1</v>
      </c>
      <c r="N77">
        <v>0</v>
      </c>
      <c r="O77" t="s">
        <v>21</v>
      </c>
      <c r="P77" t="str" cm="1">
        <f t="array" ref="P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" spans="1:16">
      <c r="A78">
        <v>765</v>
      </c>
      <c r="B78" t="s">
        <v>63</v>
      </c>
      <c r="C78" t="s">
        <v>28</v>
      </c>
      <c r="D78">
        <v>6.14</v>
      </c>
      <c r="E78">
        <v>1</v>
      </c>
      <c r="F78" t="s">
        <v>19</v>
      </c>
      <c r="G78" t="s">
        <v>24</v>
      </c>
      <c r="H78" t="s">
        <v>35</v>
      </c>
      <c r="I78" t="s">
        <v>20</v>
      </c>
      <c r="J78">
        <v>0</v>
      </c>
      <c r="K78">
        <v>0</v>
      </c>
      <c r="L78">
        <v>49</v>
      </c>
      <c r="M78">
        <v>0</v>
      </c>
      <c r="N78">
        <v>0</v>
      </c>
      <c r="O78" t="s">
        <v>21</v>
      </c>
      <c r="P78" t="str" cm="1">
        <f t="array" ref="P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" spans="1:16">
      <c r="A79">
        <v>661</v>
      </c>
      <c r="B79" t="s">
        <v>32</v>
      </c>
      <c r="C79" t="s">
        <v>33</v>
      </c>
      <c r="D79">
        <v>79.239999999999995</v>
      </c>
      <c r="E79">
        <v>10</v>
      </c>
      <c r="F79" t="s">
        <v>29</v>
      </c>
      <c r="G79" t="s">
        <v>24</v>
      </c>
      <c r="H79" t="s">
        <v>30</v>
      </c>
      <c r="I79" t="s">
        <v>25</v>
      </c>
      <c r="J79">
        <v>0</v>
      </c>
      <c r="K79">
        <v>0</v>
      </c>
      <c r="L79">
        <v>88</v>
      </c>
      <c r="M79">
        <v>2</v>
      </c>
      <c r="N79">
        <v>0</v>
      </c>
      <c r="O79" t="s">
        <v>21</v>
      </c>
      <c r="P79" t="str" cm="1">
        <f t="array" ref="P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" spans="1:16">
      <c r="A80">
        <v>8464</v>
      </c>
      <c r="B80" t="s">
        <v>59</v>
      </c>
      <c r="C80" t="s">
        <v>16</v>
      </c>
      <c r="D80">
        <v>292.91000000000003</v>
      </c>
      <c r="E80">
        <v>5</v>
      </c>
      <c r="F80" t="s">
        <v>17</v>
      </c>
      <c r="G80" t="s">
        <v>24</v>
      </c>
      <c r="H80" t="s">
        <v>30</v>
      </c>
      <c r="I80" t="s">
        <v>26</v>
      </c>
      <c r="J80">
        <v>0</v>
      </c>
      <c r="K80">
        <v>0</v>
      </c>
      <c r="L80">
        <v>73</v>
      </c>
      <c r="M80">
        <v>5</v>
      </c>
      <c r="N80">
        <v>0</v>
      </c>
      <c r="O80" t="s">
        <v>21</v>
      </c>
      <c r="P80" t="str" cm="1">
        <f t="array" ref="P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" spans="1:16">
      <c r="A81">
        <v>2694</v>
      </c>
      <c r="B81" t="s">
        <v>15</v>
      </c>
      <c r="C81" t="s">
        <v>16</v>
      </c>
      <c r="D81">
        <v>112.28</v>
      </c>
      <c r="E81">
        <v>11</v>
      </c>
      <c r="F81" t="s">
        <v>17</v>
      </c>
      <c r="G81" t="s">
        <v>18</v>
      </c>
      <c r="H81" t="s">
        <v>48</v>
      </c>
      <c r="I81" t="s">
        <v>26</v>
      </c>
      <c r="J81">
        <v>0</v>
      </c>
      <c r="K81">
        <v>0</v>
      </c>
      <c r="L81">
        <v>93</v>
      </c>
      <c r="M81">
        <v>5</v>
      </c>
      <c r="N81">
        <v>0</v>
      </c>
      <c r="O81" t="s">
        <v>21</v>
      </c>
      <c r="P81" t="str" cm="1">
        <f t="array" ref="P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" spans="1:16">
      <c r="A82">
        <v>6953</v>
      </c>
      <c r="B82" t="s">
        <v>32</v>
      </c>
      <c r="C82" t="s">
        <v>33</v>
      </c>
      <c r="D82">
        <v>106.56</v>
      </c>
      <c r="E82">
        <v>2</v>
      </c>
      <c r="F82" t="s">
        <v>50</v>
      </c>
      <c r="G82" t="s">
        <v>53</v>
      </c>
      <c r="H82" t="s">
        <v>25</v>
      </c>
      <c r="I82" t="s">
        <v>26</v>
      </c>
      <c r="J82">
        <v>0</v>
      </c>
      <c r="K82">
        <v>0</v>
      </c>
      <c r="L82">
        <v>72</v>
      </c>
      <c r="M82">
        <v>2</v>
      </c>
      <c r="N82">
        <v>0</v>
      </c>
      <c r="O82" t="s">
        <v>21</v>
      </c>
      <c r="P82" t="str" cm="1">
        <f t="array" ref="P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" spans="1:16">
      <c r="A83">
        <v>3837</v>
      </c>
      <c r="B83" t="s">
        <v>45</v>
      </c>
      <c r="C83" t="s">
        <v>28</v>
      </c>
      <c r="D83">
        <v>485.36</v>
      </c>
      <c r="E83">
        <v>4</v>
      </c>
      <c r="F83" t="s">
        <v>50</v>
      </c>
      <c r="G83" t="s">
        <v>53</v>
      </c>
      <c r="H83" t="s">
        <v>35</v>
      </c>
      <c r="I83" t="s">
        <v>31</v>
      </c>
      <c r="J83">
        <v>0</v>
      </c>
      <c r="K83">
        <v>0</v>
      </c>
      <c r="L83">
        <v>78</v>
      </c>
      <c r="M83">
        <v>1</v>
      </c>
      <c r="N83">
        <v>0</v>
      </c>
      <c r="O83" t="s">
        <v>21</v>
      </c>
      <c r="P83" t="str" cm="1">
        <f t="array" ref="P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" spans="1:16">
      <c r="A84">
        <v>3944</v>
      </c>
      <c r="B84" t="s">
        <v>32</v>
      </c>
      <c r="C84" t="s">
        <v>33</v>
      </c>
      <c r="D84">
        <v>89.89</v>
      </c>
      <c r="E84">
        <v>0</v>
      </c>
      <c r="F84" t="s">
        <v>50</v>
      </c>
      <c r="G84" t="s">
        <v>44</v>
      </c>
      <c r="H84" t="s">
        <v>35</v>
      </c>
      <c r="I84" t="s">
        <v>20</v>
      </c>
      <c r="J84">
        <v>0</v>
      </c>
      <c r="K84">
        <v>1</v>
      </c>
      <c r="L84">
        <v>26</v>
      </c>
      <c r="M84">
        <v>1</v>
      </c>
      <c r="N84">
        <v>1</v>
      </c>
      <c r="O84" t="s">
        <v>36</v>
      </c>
      <c r="P84" t="str" cm="1">
        <f t="array" ref="P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" spans="1:16">
      <c r="A85">
        <v>4394</v>
      </c>
      <c r="B85" t="s">
        <v>15</v>
      </c>
      <c r="C85" t="s">
        <v>16</v>
      </c>
      <c r="D85">
        <v>8.4</v>
      </c>
      <c r="E85">
        <v>8</v>
      </c>
      <c r="F85" t="s">
        <v>17</v>
      </c>
      <c r="G85" t="s">
        <v>44</v>
      </c>
      <c r="H85" t="s">
        <v>48</v>
      </c>
      <c r="I85" t="s">
        <v>20</v>
      </c>
      <c r="J85">
        <v>0</v>
      </c>
      <c r="K85">
        <v>1</v>
      </c>
      <c r="L85">
        <v>70</v>
      </c>
      <c r="M85">
        <v>1</v>
      </c>
      <c r="N85">
        <v>0</v>
      </c>
      <c r="O85" t="s">
        <v>21</v>
      </c>
      <c r="P85" t="str" cm="1">
        <f t="array" ref="P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" spans="1:16">
      <c r="A86">
        <v>5790</v>
      </c>
      <c r="B86" t="s">
        <v>27</v>
      </c>
      <c r="C86" t="s">
        <v>28</v>
      </c>
      <c r="D86">
        <v>42.76</v>
      </c>
      <c r="E86">
        <v>9</v>
      </c>
      <c r="F86" t="s">
        <v>34</v>
      </c>
      <c r="G86" t="s">
        <v>24</v>
      </c>
      <c r="H86" t="s">
        <v>25</v>
      </c>
      <c r="I86" t="s">
        <v>20</v>
      </c>
      <c r="J86">
        <v>0</v>
      </c>
      <c r="K86">
        <v>0</v>
      </c>
      <c r="L86">
        <v>84</v>
      </c>
      <c r="M86">
        <v>1</v>
      </c>
      <c r="N86">
        <v>0</v>
      </c>
      <c r="O86" t="s">
        <v>21</v>
      </c>
      <c r="P86" t="str" cm="1">
        <f t="array" ref="P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" spans="1:16">
      <c r="A87">
        <v>9272</v>
      </c>
      <c r="B87" t="s">
        <v>54</v>
      </c>
      <c r="C87" t="s">
        <v>28</v>
      </c>
      <c r="D87">
        <v>132.82</v>
      </c>
      <c r="E87">
        <v>15</v>
      </c>
      <c r="F87" t="s">
        <v>19</v>
      </c>
      <c r="G87" t="s">
        <v>18</v>
      </c>
      <c r="H87" t="s">
        <v>48</v>
      </c>
      <c r="I87" t="s">
        <v>20</v>
      </c>
      <c r="J87">
        <v>0</v>
      </c>
      <c r="K87">
        <v>0</v>
      </c>
      <c r="L87">
        <v>71</v>
      </c>
      <c r="M87">
        <v>1</v>
      </c>
      <c r="N87">
        <v>0</v>
      </c>
      <c r="O87" t="s">
        <v>21</v>
      </c>
      <c r="P87" t="str" cm="1">
        <f t="array" ref="P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" spans="1:16">
      <c r="A88">
        <v>3477</v>
      </c>
      <c r="B88" t="s">
        <v>45</v>
      </c>
      <c r="C88" t="s">
        <v>28</v>
      </c>
      <c r="D88">
        <v>583.59</v>
      </c>
      <c r="E88">
        <v>14</v>
      </c>
      <c r="F88" t="s">
        <v>29</v>
      </c>
      <c r="G88" t="s">
        <v>24</v>
      </c>
      <c r="H88" t="s">
        <v>30</v>
      </c>
      <c r="I88" t="s">
        <v>26</v>
      </c>
      <c r="J88">
        <v>0</v>
      </c>
      <c r="K88">
        <v>0</v>
      </c>
      <c r="L88">
        <v>99</v>
      </c>
      <c r="M88">
        <v>1</v>
      </c>
      <c r="N88">
        <v>0</v>
      </c>
      <c r="O88" t="s">
        <v>21</v>
      </c>
      <c r="P88" t="str" cm="1">
        <f t="array" ref="P88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89" spans="1:16">
      <c r="A89">
        <v>7798</v>
      </c>
      <c r="B89" t="s">
        <v>46</v>
      </c>
      <c r="C89" t="s">
        <v>23</v>
      </c>
      <c r="D89">
        <v>32.36</v>
      </c>
      <c r="E89">
        <v>7</v>
      </c>
      <c r="F89" t="s">
        <v>19</v>
      </c>
      <c r="G89" t="s">
        <v>24</v>
      </c>
      <c r="H89" t="s">
        <v>48</v>
      </c>
      <c r="I89" t="s">
        <v>26</v>
      </c>
      <c r="J89">
        <v>0</v>
      </c>
      <c r="K89">
        <v>0</v>
      </c>
      <c r="L89">
        <v>58</v>
      </c>
      <c r="M89">
        <v>5</v>
      </c>
      <c r="N89">
        <v>0</v>
      </c>
      <c r="O89" t="s">
        <v>21</v>
      </c>
      <c r="P89" t="str" cm="1">
        <f t="array" ref="P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" spans="1:16">
      <c r="A90">
        <v>1348</v>
      </c>
      <c r="B90" t="s">
        <v>56</v>
      </c>
      <c r="C90" t="s">
        <v>52</v>
      </c>
      <c r="D90">
        <v>83.46</v>
      </c>
      <c r="E90">
        <v>15</v>
      </c>
      <c r="F90" t="s">
        <v>19</v>
      </c>
      <c r="G90" t="s">
        <v>24</v>
      </c>
      <c r="H90" t="s">
        <v>30</v>
      </c>
      <c r="I90" t="s">
        <v>20</v>
      </c>
      <c r="J90">
        <v>0</v>
      </c>
      <c r="K90">
        <v>0</v>
      </c>
      <c r="L90">
        <v>98</v>
      </c>
      <c r="M90">
        <v>1</v>
      </c>
      <c r="N90">
        <v>0</v>
      </c>
      <c r="O90" t="s">
        <v>21</v>
      </c>
      <c r="P90" t="str" cm="1">
        <f t="array" ref="P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" spans="1:16">
      <c r="A91">
        <v>2206</v>
      </c>
      <c r="B91" t="s">
        <v>64</v>
      </c>
      <c r="C91" t="s">
        <v>23</v>
      </c>
      <c r="D91">
        <v>450.35</v>
      </c>
      <c r="E91">
        <v>11</v>
      </c>
      <c r="F91" t="s">
        <v>19</v>
      </c>
      <c r="G91" t="s">
        <v>24</v>
      </c>
      <c r="H91" t="s">
        <v>48</v>
      </c>
      <c r="I91" t="s">
        <v>20</v>
      </c>
      <c r="J91">
        <v>0</v>
      </c>
      <c r="K91">
        <v>1</v>
      </c>
      <c r="L91">
        <v>65</v>
      </c>
      <c r="M91">
        <v>0</v>
      </c>
      <c r="N91">
        <v>0</v>
      </c>
      <c r="O91" t="s">
        <v>21</v>
      </c>
      <c r="P91" t="str" cm="1">
        <f t="array" ref="P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" spans="1:16">
      <c r="A92">
        <v>3211</v>
      </c>
      <c r="B92" t="s">
        <v>65</v>
      </c>
      <c r="C92" t="s">
        <v>16</v>
      </c>
      <c r="D92">
        <v>31.46</v>
      </c>
      <c r="E92">
        <v>18</v>
      </c>
      <c r="F92" t="s">
        <v>17</v>
      </c>
      <c r="G92" t="s">
        <v>44</v>
      </c>
      <c r="H92" t="s">
        <v>19</v>
      </c>
      <c r="I92" t="s">
        <v>20</v>
      </c>
      <c r="J92">
        <v>1</v>
      </c>
      <c r="K92">
        <v>0</v>
      </c>
      <c r="L92">
        <v>84</v>
      </c>
      <c r="M92">
        <v>2</v>
      </c>
      <c r="N92">
        <v>0</v>
      </c>
      <c r="O92" t="s">
        <v>21</v>
      </c>
      <c r="P92" t="str" cm="1">
        <f t="array" ref="P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" spans="1:16">
      <c r="A93">
        <v>9162</v>
      </c>
      <c r="B93" t="s">
        <v>32</v>
      </c>
      <c r="C93" t="s">
        <v>33</v>
      </c>
      <c r="D93">
        <v>182.87</v>
      </c>
      <c r="E93">
        <v>1</v>
      </c>
      <c r="F93" t="s">
        <v>19</v>
      </c>
      <c r="G93" t="s">
        <v>24</v>
      </c>
      <c r="H93" t="s">
        <v>19</v>
      </c>
      <c r="I93" t="s">
        <v>25</v>
      </c>
      <c r="J93">
        <v>0</v>
      </c>
      <c r="K93">
        <v>0</v>
      </c>
      <c r="L93">
        <v>29</v>
      </c>
      <c r="M93">
        <v>0</v>
      </c>
      <c r="N93">
        <v>0</v>
      </c>
      <c r="O93" t="s">
        <v>21</v>
      </c>
      <c r="P93" t="str" cm="1">
        <f t="array" ref="P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" spans="1:16">
      <c r="A94">
        <v>8629</v>
      </c>
      <c r="B94" t="s">
        <v>27</v>
      </c>
      <c r="C94" t="s">
        <v>28</v>
      </c>
      <c r="D94">
        <v>60</v>
      </c>
      <c r="E94">
        <v>2</v>
      </c>
      <c r="F94" t="s">
        <v>34</v>
      </c>
      <c r="G94" t="s">
        <v>18</v>
      </c>
      <c r="H94" t="s">
        <v>19</v>
      </c>
      <c r="I94" t="s">
        <v>20</v>
      </c>
      <c r="J94">
        <v>1</v>
      </c>
      <c r="K94">
        <v>0</v>
      </c>
      <c r="L94">
        <v>25</v>
      </c>
      <c r="M94">
        <v>2</v>
      </c>
      <c r="N94">
        <v>1</v>
      </c>
      <c r="O94" t="s">
        <v>36</v>
      </c>
      <c r="P94" t="str" cm="1">
        <f t="array" ref="P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" spans="1:16">
      <c r="A95">
        <v>8369</v>
      </c>
      <c r="B95" t="s">
        <v>32</v>
      </c>
      <c r="C95" t="s">
        <v>33</v>
      </c>
      <c r="D95">
        <v>173.38</v>
      </c>
      <c r="E95">
        <v>7</v>
      </c>
      <c r="F95" t="s">
        <v>17</v>
      </c>
      <c r="G95" t="s">
        <v>38</v>
      </c>
      <c r="H95" t="s">
        <v>41</v>
      </c>
      <c r="I95" t="s">
        <v>26</v>
      </c>
      <c r="J95">
        <v>0</v>
      </c>
      <c r="K95">
        <v>0</v>
      </c>
      <c r="L95">
        <v>78</v>
      </c>
      <c r="M95">
        <v>1</v>
      </c>
      <c r="N95">
        <v>0</v>
      </c>
      <c r="O95" t="s">
        <v>21</v>
      </c>
      <c r="P95" t="str" cm="1">
        <f t="array" ref="P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" spans="1:16">
      <c r="A96">
        <v>6516</v>
      </c>
      <c r="B96" t="s">
        <v>56</v>
      </c>
      <c r="C96" t="s">
        <v>52</v>
      </c>
      <c r="D96">
        <v>47.73</v>
      </c>
      <c r="E96">
        <v>15</v>
      </c>
      <c r="F96" t="s">
        <v>29</v>
      </c>
      <c r="G96" t="s">
        <v>18</v>
      </c>
      <c r="H96" t="s">
        <v>35</v>
      </c>
      <c r="I96" t="s">
        <v>20</v>
      </c>
      <c r="J96">
        <v>0</v>
      </c>
      <c r="K96">
        <v>0</v>
      </c>
      <c r="L96">
        <v>28</v>
      </c>
      <c r="M96">
        <v>1</v>
      </c>
      <c r="N96">
        <v>0</v>
      </c>
      <c r="O96" t="s">
        <v>21</v>
      </c>
      <c r="P96" t="str" cm="1">
        <f t="array" ref="P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" spans="1:16">
      <c r="A97">
        <v>6792</v>
      </c>
      <c r="B97" t="s">
        <v>32</v>
      </c>
      <c r="C97" t="s">
        <v>33</v>
      </c>
      <c r="D97">
        <v>65.099999999999994</v>
      </c>
      <c r="E97">
        <v>13</v>
      </c>
      <c r="F97" t="s">
        <v>29</v>
      </c>
      <c r="G97" t="s">
        <v>44</v>
      </c>
      <c r="H97" t="s">
        <v>19</v>
      </c>
      <c r="I97" t="s">
        <v>20</v>
      </c>
      <c r="J97">
        <v>0</v>
      </c>
      <c r="K97">
        <v>0</v>
      </c>
      <c r="L97">
        <v>70</v>
      </c>
      <c r="M97">
        <v>4</v>
      </c>
      <c r="N97">
        <v>0</v>
      </c>
      <c r="O97" t="s">
        <v>21</v>
      </c>
      <c r="P97" t="str" cm="1">
        <f t="array" ref="P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" spans="1:16">
      <c r="A98">
        <v>5182</v>
      </c>
      <c r="B98" t="s">
        <v>57</v>
      </c>
      <c r="C98" t="s">
        <v>43</v>
      </c>
      <c r="D98">
        <v>318.49</v>
      </c>
      <c r="E98">
        <v>7</v>
      </c>
      <c r="F98" t="s">
        <v>34</v>
      </c>
      <c r="G98" t="s">
        <v>44</v>
      </c>
      <c r="H98" t="s">
        <v>25</v>
      </c>
      <c r="I98" t="s">
        <v>25</v>
      </c>
      <c r="J98">
        <v>0</v>
      </c>
      <c r="K98">
        <v>0</v>
      </c>
      <c r="L98">
        <v>89</v>
      </c>
      <c r="M98">
        <v>0</v>
      </c>
      <c r="N98">
        <v>0</v>
      </c>
      <c r="O98" t="s">
        <v>21</v>
      </c>
      <c r="P98" t="str" cm="1">
        <f t="array" ref="P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" spans="1:16">
      <c r="A99">
        <v>209</v>
      </c>
      <c r="B99" t="s">
        <v>47</v>
      </c>
      <c r="C99" t="s">
        <v>16</v>
      </c>
      <c r="D99">
        <v>0.91</v>
      </c>
      <c r="E99">
        <v>3</v>
      </c>
      <c r="F99" t="s">
        <v>50</v>
      </c>
      <c r="G99" t="s">
        <v>24</v>
      </c>
      <c r="H99" t="s">
        <v>35</v>
      </c>
      <c r="I99" t="s">
        <v>25</v>
      </c>
      <c r="J99">
        <v>0</v>
      </c>
      <c r="K99">
        <v>0</v>
      </c>
      <c r="L99">
        <v>60</v>
      </c>
      <c r="M99">
        <v>2</v>
      </c>
      <c r="N99">
        <v>0</v>
      </c>
      <c r="O99" t="s">
        <v>21</v>
      </c>
      <c r="P99" t="str" cm="1">
        <f t="array" ref="P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0" spans="1:16">
      <c r="A100">
        <v>6228</v>
      </c>
      <c r="B100" t="s">
        <v>27</v>
      </c>
      <c r="C100" t="s">
        <v>28</v>
      </c>
      <c r="D100">
        <v>767.52</v>
      </c>
      <c r="E100">
        <v>4</v>
      </c>
      <c r="F100" t="s">
        <v>29</v>
      </c>
      <c r="G100" t="s">
        <v>24</v>
      </c>
      <c r="H100" t="s">
        <v>35</v>
      </c>
      <c r="I100" t="s">
        <v>26</v>
      </c>
      <c r="J100">
        <v>1</v>
      </c>
      <c r="K100">
        <v>1</v>
      </c>
      <c r="L100">
        <v>80</v>
      </c>
      <c r="M100">
        <v>4</v>
      </c>
      <c r="N100">
        <v>0</v>
      </c>
      <c r="O100" t="s">
        <v>21</v>
      </c>
      <c r="P100" t="str" cm="1">
        <f t="array" ref="P100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101" spans="1:16">
      <c r="A101">
        <v>3808</v>
      </c>
      <c r="B101" t="s">
        <v>49</v>
      </c>
      <c r="C101" t="s">
        <v>16</v>
      </c>
      <c r="D101">
        <v>76.86</v>
      </c>
      <c r="E101">
        <v>18</v>
      </c>
      <c r="F101" t="s">
        <v>34</v>
      </c>
      <c r="G101" t="s">
        <v>24</v>
      </c>
      <c r="H101" t="s">
        <v>25</v>
      </c>
      <c r="I101" t="s">
        <v>20</v>
      </c>
      <c r="J101">
        <v>0</v>
      </c>
      <c r="K101">
        <v>0</v>
      </c>
      <c r="L101">
        <v>92</v>
      </c>
      <c r="M101">
        <v>4</v>
      </c>
      <c r="N101">
        <v>0</v>
      </c>
      <c r="O101" t="s">
        <v>21</v>
      </c>
      <c r="P101" t="str" cm="1">
        <f t="array" ref="P1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2" spans="1:16">
      <c r="A102">
        <v>5529</v>
      </c>
      <c r="B102" t="s">
        <v>27</v>
      </c>
      <c r="C102" t="s">
        <v>28</v>
      </c>
      <c r="D102">
        <v>102.77</v>
      </c>
      <c r="E102">
        <v>21</v>
      </c>
      <c r="F102" t="s">
        <v>50</v>
      </c>
      <c r="G102" t="s">
        <v>53</v>
      </c>
      <c r="H102" t="s">
        <v>25</v>
      </c>
      <c r="I102" t="s">
        <v>25</v>
      </c>
      <c r="J102">
        <v>1</v>
      </c>
      <c r="K102">
        <v>0</v>
      </c>
      <c r="L102">
        <v>72</v>
      </c>
      <c r="M102">
        <v>4</v>
      </c>
      <c r="N102">
        <v>0</v>
      </c>
      <c r="O102" t="s">
        <v>21</v>
      </c>
      <c r="P102" t="str" cm="1">
        <f t="array" ref="P1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3" spans="1:16">
      <c r="A103">
        <v>1306</v>
      </c>
      <c r="B103" t="s">
        <v>66</v>
      </c>
      <c r="C103" t="s">
        <v>43</v>
      </c>
      <c r="D103">
        <v>368.59</v>
      </c>
      <c r="E103">
        <v>3</v>
      </c>
      <c r="F103" t="s">
        <v>29</v>
      </c>
      <c r="G103" t="s">
        <v>24</v>
      </c>
      <c r="H103" t="s">
        <v>19</v>
      </c>
      <c r="I103" t="s">
        <v>31</v>
      </c>
      <c r="J103">
        <v>0</v>
      </c>
      <c r="K103">
        <v>1</v>
      </c>
      <c r="L103">
        <v>25</v>
      </c>
      <c r="M103">
        <v>3</v>
      </c>
      <c r="N103">
        <v>1</v>
      </c>
      <c r="O103" t="s">
        <v>36</v>
      </c>
      <c r="P103" t="str" cm="1">
        <f t="array" ref="P1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4" spans="1:16">
      <c r="A104">
        <v>669</v>
      </c>
      <c r="B104" t="s">
        <v>51</v>
      </c>
      <c r="C104" t="s">
        <v>52</v>
      </c>
      <c r="D104">
        <v>37.17</v>
      </c>
      <c r="E104">
        <v>15</v>
      </c>
      <c r="F104" t="s">
        <v>50</v>
      </c>
      <c r="G104" t="s">
        <v>38</v>
      </c>
      <c r="H104" t="s">
        <v>41</v>
      </c>
      <c r="I104" t="s">
        <v>20</v>
      </c>
      <c r="J104">
        <v>0</v>
      </c>
      <c r="K104">
        <v>0</v>
      </c>
      <c r="L104">
        <v>66</v>
      </c>
      <c r="M104">
        <v>1</v>
      </c>
      <c r="N104">
        <v>0</v>
      </c>
      <c r="O104" t="s">
        <v>21</v>
      </c>
      <c r="P104" t="str" cm="1">
        <f t="array" ref="P1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5" spans="1:16">
      <c r="A105">
        <v>8555</v>
      </c>
      <c r="B105" t="s">
        <v>40</v>
      </c>
      <c r="C105" t="s">
        <v>33</v>
      </c>
      <c r="D105">
        <v>93.64</v>
      </c>
      <c r="E105">
        <v>22</v>
      </c>
      <c r="F105" t="s">
        <v>17</v>
      </c>
      <c r="G105" t="s">
        <v>24</v>
      </c>
      <c r="H105" t="s">
        <v>25</v>
      </c>
      <c r="I105" t="s">
        <v>31</v>
      </c>
      <c r="J105">
        <v>1</v>
      </c>
      <c r="K105">
        <v>0</v>
      </c>
      <c r="L105">
        <v>75</v>
      </c>
      <c r="M105">
        <v>0</v>
      </c>
      <c r="N105">
        <v>0</v>
      </c>
      <c r="O105" t="s">
        <v>21</v>
      </c>
      <c r="P105" t="str" cm="1">
        <f t="array" ref="P1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6" spans="1:16">
      <c r="A106">
        <v>4095</v>
      </c>
      <c r="B106" t="s">
        <v>46</v>
      </c>
      <c r="C106" t="s">
        <v>23</v>
      </c>
      <c r="D106">
        <v>72.62</v>
      </c>
      <c r="E106">
        <v>14</v>
      </c>
      <c r="F106" t="s">
        <v>17</v>
      </c>
      <c r="G106" t="s">
        <v>24</v>
      </c>
      <c r="H106" t="s">
        <v>30</v>
      </c>
      <c r="I106" t="s">
        <v>31</v>
      </c>
      <c r="J106">
        <v>1</v>
      </c>
      <c r="K106">
        <v>0</v>
      </c>
      <c r="L106">
        <v>98</v>
      </c>
      <c r="M106">
        <v>5</v>
      </c>
      <c r="N106">
        <v>0</v>
      </c>
      <c r="O106" t="s">
        <v>21</v>
      </c>
      <c r="P106" t="str" cm="1">
        <f t="array" ref="P1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7" spans="1:16">
      <c r="A107">
        <v>678</v>
      </c>
      <c r="B107" t="s">
        <v>46</v>
      </c>
      <c r="C107" t="s">
        <v>23</v>
      </c>
      <c r="D107">
        <v>91.31</v>
      </c>
      <c r="E107">
        <v>10</v>
      </c>
      <c r="F107" t="s">
        <v>50</v>
      </c>
      <c r="G107" t="s">
        <v>18</v>
      </c>
      <c r="H107" t="s">
        <v>48</v>
      </c>
      <c r="I107" t="s">
        <v>20</v>
      </c>
      <c r="J107">
        <v>0</v>
      </c>
      <c r="K107">
        <v>0</v>
      </c>
      <c r="L107">
        <v>76</v>
      </c>
      <c r="M107">
        <v>1</v>
      </c>
      <c r="N107">
        <v>0</v>
      </c>
      <c r="O107" t="s">
        <v>21</v>
      </c>
      <c r="P107" t="str" cm="1">
        <f t="array" ref="P1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8" spans="1:16">
      <c r="A108">
        <v>1352</v>
      </c>
      <c r="B108" t="s">
        <v>32</v>
      </c>
      <c r="C108" t="s">
        <v>33</v>
      </c>
      <c r="D108">
        <v>155.58000000000001</v>
      </c>
      <c r="E108">
        <v>11</v>
      </c>
      <c r="F108" t="s">
        <v>50</v>
      </c>
      <c r="G108" t="s">
        <v>24</v>
      </c>
      <c r="H108" t="s">
        <v>35</v>
      </c>
      <c r="I108" t="s">
        <v>20</v>
      </c>
      <c r="J108">
        <v>0</v>
      </c>
      <c r="K108">
        <v>0</v>
      </c>
      <c r="L108">
        <v>85</v>
      </c>
      <c r="M108">
        <v>2</v>
      </c>
      <c r="N108">
        <v>0</v>
      </c>
      <c r="O108" t="s">
        <v>21</v>
      </c>
      <c r="P108" t="str" cm="1">
        <f t="array" ref="P1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9" spans="1:16">
      <c r="A109">
        <v>5926</v>
      </c>
      <c r="B109" t="s">
        <v>32</v>
      </c>
      <c r="C109" t="s">
        <v>33</v>
      </c>
      <c r="D109">
        <v>227.57</v>
      </c>
      <c r="E109">
        <v>13</v>
      </c>
      <c r="F109" t="s">
        <v>29</v>
      </c>
      <c r="G109" t="s">
        <v>24</v>
      </c>
      <c r="H109" t="s">
        <v>41</v>
      </c>
      <c r="I109" t="s">
        <v>20</v>
      </c>
      <c r="J109">
        <v>0</v>
      </c>
      <c r="K109">
        <v>1</v>
      </c>
      <c r="L109">
        <v>69</v>
      </c>
      <c r="M109">
        <v>1</v>
      </c>
      <c r="N109">
        <v>0</v>
      </c>
      <c r="O109" t="s">
        <v>21</v>
      </c>
      <c r="P109" t="str" cm="1">
        <f t="array" ref="P1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0" spans="1:16">
      <c r="A110">
        <v>3495</v>
      </c>
      <c r="B110" t="s">
        <v>49</v>
      </c>
      <c r="C110" t="s">
        <v>16</v>
      </c>
      <c r="D110">
        <v>193.68</v>
      </c>
      <c r="E110">
        <v>14</v>
      </c>
      <c r="F110" t="s">
        <v>19</v>
      </c>
      <c r="G110" t="s">
        <v>53</v>
      </c>
      <c r="H110" t="s">
        <v>48</v>
      </c>
      <c r="I110" t="s">
        <v>26</v>
      </c>
      <c r="J110">
        <v>0</v>
      </c>
      <c r="K110">
        <v>0</v>
      </c>
      <c r="L110">
        <v>42</v>
      </c>
      <c r="M110">
        <v>0</v>
      </c>
      <c r="N110">
        <v>0</v>
      </c>
      <c r="O110" t="s">
        <v>21</v>
      </c>
      <c r="P110" t="str" cm="1">
        <f t="array" ref="P1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1" spans="1:16">
      <c r="A111">
        <v>3799</v>
      </c>
      <c r="B111" t="s">
        <v>46</v>
      </c>
      <c r="C111" t="s">
        <v>23</v>
      </c>
      <c r="D111">
        <v>34.090000000000003</v>
      </c>
      <c r="E111">
        <v>17</v>
      </c>
      <c r="F111" t="s">
        <v>17</v>
      </c>
      <c r="G111" t="s">
        <v>53</v>
      </c>
      <c r="H111" t="s">
        <v>35</v>
      </c>
      <c r="I111" t="s">
        <v>31</v>
      </c>
      <c r="J111">
        <v>0</v>
      </c>
      <c r="K111">
        <v>0</v>
      </c>
      <c r="L111">
        <v>27</v>
      </c>
      <c r="M111">
        <v>2</v>
      </c>
      <c r="N111">
        <v>0</v>
      </c>
      <c r="O111" t="s">
        <v>21</v>
      </c>
      <c r="P111" t="str" cm="1">
        <f t="array" ref="P1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2" spans="1:16">
      <c r="A112">
        <v>5009</v>
      </c>
      <c r="B112" t="s">
        <v>45</v>
      </c>
      <c r="C112" t="s">
        <v>28</v>
      </c>
      <c r="D112">
        <v>36.119999999999997</v>
      </c>
      <c r="E112">
        <v>8</v>
      </c>
      <c r="F112" t="s">
        <v>17</v>
      </c>
      <c r="G112" t="s">
        <v>38</v>
      </c>
      <c r="H112" t="s">
        <v>41</v>
      </c>
      <c r="I112" t="s">
        <v>20</v>
      </c>
      <c r="J112">
        <v>1</v>
      </c>
      <c r="K112">
        <v>1</v>
      </c>
      <c r="L112">
        <v>51</v>
      </c>
      <c r="M112">
        <v>1</v>
      </c>
      <c r="N112">
        <v>0</v>
      </c>
      <c r="O112" t="s">
        <v>21</v>
      </c>
      <c r="P112" t="str" cm="1">
        <f t="array" ref="P1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3" spans="1:16">
      <c r="A113">
        <v>7894</v>
      </c>
      <c r="B113" t="s">
        <v>37</v>
      </c>
      <c r="C113" t="s">
        <v>16</v>
      </c>
      <c r="D113">
        <v>104.86</v>
      </c>
      <c r="E113">
        <v>20</v>
      </c>
      <c r="F113" t="s">
        <v>29</v>
      </c>
      <c r="G113" t="s">
        <v>44</v>
      </c>
      <c r="H113" t="s">
        <v>19</v>
      </c>
      <c r="I113" t="s">
        <v>26</v>
      </c>
      <c r="J113">
        <v>0</v>
      </c>
      <c r="K113">
        <v>0</v>
      </c>
      <c r="L113">
        <v>95</v>
      </c>
      <c r="M113">
        <v>2</v>
      </c>
      <c r="N113">
        <v>0</v>
      </c>
      <c r="O113" t="s">
        <v>21</v>
      </c>
      <c r="P113" t="str" cm="1">
        <f t="array" ref="P1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4" spans="1:16">
      <c r="A114">
        <v>2587</v>
      </c>
      <c r="B114" t="s">
        <v>47</v>
      </c>
      <c r="C114" t="s">
        <v>16</v>
      </c>
      <c r="D114">
        <v>13.41</v>
      </c>
      <c r="E114">
        <v>2</v>
      </c>
      <c r="F114" t="s">
        <v>19</v>
      </c>
      <c r="G114" t="s">
        <v>24</v>
      </c>
      <c r="H114" t="s">
        <v>25</v>
      </c>
      <c r="I114" t="s">
        <v>20</v>
      </c>
      <c r="J114">
        <v>0</v>
      </c>
      <c r="K114">
        <v>0</v>
      </c>
      <c r="L114">
        <v>96</v>
      </c>
      <c r="M114">
        <v>2</v>
      </c>
      <c r="N114">
        <v>0</v>
      </c>
      <c r="O114" t="s">
        <v>21</v>
      </c>
      <c r="P114" t="str" cm="1">
        <f t="array" ref="P1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5" spans="1:16">
      <c r="A115">
        <v>4561</v>
      </c>
      <c r="B115" t="s">
        <v>15</v>
      </c>
      <c r="C115" t="s">
        <v>16</v>
      </c>
      <c r="D115">
        <v>229.24</v>
      </c>
      <c r="E115">
        <v>13</v>
      </c>
      <c r="F115" t="s">
        <v>19</v>
      </c>
      <c r="G115" t="s">
        <v>18</v>
      </c>
      <c r="H115" t="s">
        <v>35</v>
      </c>
      <c r="I115" t="s">
        <v>20</v>
      </c>
      <c r="J115">
        <v>0</v>
      </c>
      <c r="K115">
        <v>0</v>
      </c>
      <c r="L115">
        <v>52</v>
      </c>
      <c r="M115">
        <v>4</v>
      </c>
      <c r="N115">
        <v>0</v>
      </c>
      <c r="O115" t="s">
        <v>21</v>
      </c>
      <c r="P115" t="str" cm="1">
        <f t="array" ref="P1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6" spans="1:16">
      <c r="A116">
        <v>1546</v>
      </c>
      <c r="B116" t="s">
        <v>37</v>
      </c>
      <c r="C116" t="s">
        <v>16</v>
      </c>
      <c r="D116">
        <v>118.94</v>
      </c>
      <c r="E116">
        <v>3</v>
      </c>
      <c r="F116" t="s">
        <v>50</v>
      </c>
      <c r="G116" t="s">
        <v>53</v>
      </c>
      <c r="H116" t="s">
        <v>35</v>
      </c>
      <c r="I116" t="s">
        <v>26</v>
      </c>
      <c r="J116">
        <v>0</v>
      </c>
      <c r="K116">
        <v>0</v>
      </c>
      <c r="L116">
        <v>27</v>
      </c>
      <c r="M116">
        <v>5</v>
      </c>
      <c r="N116">
        <v>1</v>
      </c>
      <c r="O116" t="s">
        <v>36</v>
      </c>
      <c r="P116" t="str" cm="1">
        <f t="array" ref="P1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7" spans="1:16">
      <c r="A117">
        <v>4855</v>
      </c>
      <c r="B117" t="s">
        <v>54</v>
      </c>
      <c r="C117" t="s">
        <v>28</v>
      </c>
      <c r="D117">
        <v>177.83</v>
      </c>
      <c r="E117">
        <v>5</v>
      </c>
      <c r="F117" t="s">
        <v>29</v>
      </c>
      <c r="G117" t="s">
        <v>24</v>
      </c>
      <c r="H117" t="s">
        <v>25</v>
      </c>
      <c r="I117" t="s">
        <v>20</v>
      </c>
      <c r="J117">
        <v>0</v>
      </c>
      <c r="K117">
        <v>0</v>
      </c>
      <c r="L117">
        <v>41</v>
      </c>
      <c r="M117">
        <v>4</v>
      </c>
      <c r="N117">
        <v>0</v>
      </c>
      <c r="O117" t="s">
        <v>21</v>
      </c>
      <c r="P117" t="str" cm="1">
        <f t="array" ref="P1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8" spans="1:16">
      <c r="A118">
        <v>513</v>
      </c>
      <c r="B118" t="s">
        <v>45</v>
      </c>
      <c r="C118" t="s">
        <v>28</v>
      </c>
      <c r="D118">
        <v>485.82</v>
      </c>
      <c r="E118">
        <v>17</v>
      </c>
      <c r="F118" t="s">
        <v>34</v>
      </c>
      <c r="G118" t="s">
        <v>18</v>
      </c>
      <c r="H118" t="s">
        <v>41</v>
      </c>
      <c r="I118" t="s">
        <v>26</v>
      </c>
      <c r="J118">
        <v>0</v>
      </c>
      <c r="K118">
        <v>0</v>
      </c>
      <c r="L118">
        <v>39</v>
      </c>
      <c r="M118">
        <v>3</v>
      </c>
      <c r="N118">
        <v>0</v>
      </c>
      <c r="O118" t="s">
        <v>21</v>
      </c>
      <c r="P118" t="str" cm="1">
        <f t="array" ref="P1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19" spans="1:16">
      <c r="A119">
        <v>8625</v>
      </c>
      <c r="B119" t="s">
        <v>67</v>
      </c>
      <c r="C119" t="s">
        <v>28</v>
      </c>
      <c r="D119">
        <v>3.71</v>
      </c>
      <c r="E119">
        <v>5</v>
      </c>
      <c r="F119" t="s">
        <v>19</v>
      </c>
      <c r="G119" t="s">
        <v>18</v>
      </c>
      <c r="H119" t="s">
        <v>25</v>
      </c>
      <c r="I119" t="s">
        <v>26</v>
      </c>
      <c r="J119">
        <v>0</v>
      </c>
      <c r="K119">
        <v>0</v>
      </c>
      <c r="L119">
        <v>87</v>
      </c>
      <c r="M119">
        <v>2</v>
      </c>
      <c r="N119">
        <v>0</v>
      </c>
      <c r="O119" t="s">
        <v>21</v>
      </c>
      <c r="P119" t="str" cm="1">
        <f t="array" ref="P1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0" spans="1:16">
      <c r="A120">
        <v>7109</v>
      </c>
      <c r="B120" t="s">
        <v>27</v>
      </c>
      <c r="C120" t="s">
        <v>28</v>
      </c>
      <c r="D120">
        <v>383.89</v>
      </c>
      <c r="E120">
        <v>6</v>
      </c>
      <c r="F120" t="s">
        <v>29</v>
      </c>
      <c r="G120" t="s">
        <v>24</v>
      </c>
      <c r="H120" t="s">
        <v>35</v>
      </c>
      <c r="I120" t="s">
        <v>20</v>
      </c>
      <c r="J120">
        <v>0</v>
      </c>
      <c r="K120">
        <v>0</v>
      </c>
      <c r="L120">
        <v>73</v>
      </c>
      <c r="M120">
        <v>1</v>
      </c>
      <c r="N120">
        <v>0</v>
      </c>
      <c r="O120" t="s">
        <v>21</v>
      </c>
      <c r="P120" t="str" cm="1">
        <f t="array" ref="P1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1" spans="1:16">
      <c r="A121">
        <v>2631</v>
      </c>
      <c r="B121" t="s">
        <v>45</v>
      </c>
      <c r="C121" t="s">
        <v>28</v>
      </c>
      <c r="D121">
        <v>180.29</v>
      </c>
      <c r="E121">
        <v>3</v>
      </c>
      <c r="F121" t="s">
        <v>50</v>
      </c>
      <c r="G121" t="s">
        <v>24</v>
      </c>
      <c r="H121" t="s">
        <v>41</v>
      </c>
      <c r="I121" t="s">
        <v>26</v>
      </c>
      <c r="J121">
        <v>1</v>
      </c>
      <c r="K121">
        <v>1</v>
      </c>
      <c r="L121">
        <v>33</v>
      </c>
      <c r="M121">
        <v>2</v>
      </c>
      <c r="N121">
        <v>1</v>
      </c>
      <c r="O121" t="s">
        <v>36</v>
      </c>
      <c r="P121" t="str" cm="1">
        <f t="array" ref="P1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2" spans="1:16">
      <c r="A122">
        <v>8426</v>
      </c>
      <c r="B122" t="s">
        <v>51</v>
      </c>
      <c r="C122" t="s">
        <v>52</v>
      </c>
      <c r="D122">
        <v>66.599999999999994</v>
      </c>
      <c r="E122">
        <v>16</v>
      </c>
      <c r="F122" t="s">
        <v>29</v>
      </c>
      <c r="G122" t="s">
        <v>18</v>
      </c>
      <c r="H122" t="s">
        <v>35</v>
      </c>
      <c r="I122" t="s">
        <v>31</v>
      </c>
      <c r="J122">
        <v>0</v>
      </c>
      <c r="K122">
        <v>0</v>
      </c>
      <c r="L122">
        <v>32</v>
      </c>
      <c r="M122">
        <v>4</v>
      </c>
      <c r="N122">
        <v>0</v>
      </c>
      <c r="O122" t="s">
        <v>21</v>
      </c>
      <c r="P122" t="str" cm="1">
        <f t="array" ref="P1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3" spans="1:16">
      <c r="A123">
        <v>3776</v>
      </c>
      <c r="B123" t="s">
        <v>37</v>
      </c>
      <c r="C123" t="s">
        <v>16</v>
      </c>
      <c r="D123">
        <v>482.71</v>
      </c>
      <c r="E123">
        <v>11</v>
      </c>
      <c r="F123" t="s">
        <v>19</v>
      </c>
      <c r="G123" t="s">
        <v>24</v>
      </c>
      <c r="H123" t="s">
        <v>25</v>
      </c>
      <c r="I123" t="s">
        <v>20</v>
      </c>
      <c r="J123">
        <v>0</v>
      </c>
      <c r="K123">
        <v>1</v>
      </c>
      <c r="L123">
        <v>38</v>
      </c>
      <c r="M123">
        <v>1</v>
      </c>
      <c r="N123">
        <v>0</v>
      </c>
      <c r="O123" t="s">
        <v>21</v>
      </c>
      <c r="P123" t="str" cm="1">
        <f t="array" ref="P1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4" spans="1:16">
      <c r="A124">
        <v>3797</v>
      </c>
      <c r="B124" t="s">
        <v>15</v>
      </c>
      <c r="C124" t="s">
        <v>16</v>
      </c>
      <c r="D124">
        <v>136.78</v>
      </c>
      <c r="E124">
        <v>20</v>
      </c>
      <c r="F124" t="s">
        <v>50</v>
      </c>
      <c r="G124" t="s">
        <v>18</v>
      </c>
      <c r="H124" t="s">
        <v>35</v>
      </c>
      <c r="I124" t="s">
        <v>20</v>
      </c>
      <c r="J124">
        <v>0</v>
      </c>
      <c r="K124">
        <v>0</v>
      </c>
      <c r="L124">
        <v>56</v>
      </c>
      <c r="M124">
        <v>4</v>
      </c>
      <c r="N124">
        <v>0</v>
      </c>
      <c r="O124" t="s">
        <v>21</v>
      </c>
      <c r="P124" t="str" cm="1">
        <f t="array" ref="P1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5" spans="1:16">
      <c r="A125">
        <v>2258</v>
      </c>
      <c r="B125" t="s">
        <v>68</v>
      </c>
      <c r="C125" t="s">
        <v>43</v>
      </c>
      <c r="D125">
        <v>101.32</v>
      </c>
      <c r="E125">
        <v>8</v>
      </c>
      <c r="F125" t="s">
        <v>29</v>
      </c>
      <c r="G125" t="s">
        <v>44</v>
      </c>
      <c r="H125" t="s">
        <v>35</v>
      </c>
      <c r="I125" t="s">
        <v>20</v>
      </c>
      <c r="J125">
        <v>0</v>
      </c>
      <c r="K125">
        <v>0</v>
      </c>
      <c r="L125">
        <v>46</v>
      </c>
      <c r="M125">
        <v>0</v>
      </c>
      <c r="N125">
        <v>0</v>
      </c>
      <c r="O125" t="s">
        <v>21</v>
      </c>
      <c r="P125" t="str" cm="1">
        <f t="array" ref="P1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6" spans="1:16">
      <c r="A126">
        <v>1002</v>
      </c>
      <c r="B126" t="s">
        <v>32</v>
      </c>
      <c r="C126" t="s">
        <v>33</v>
      </c>
      <c r="D126">
        <v>140.52000000000001</v>
      </c>
      <c r="E126">
        <v>23</v>
      </c>
      <c r="F126" t="s">
        <v>19</v>
      </c>
      <c r="G126" t="s">
        <v>44</v>
      </c>
      <c r="H126" t="s">
        <v>19</v>
      </c>
      <c r="I126" t="s">
        <v>26</v>
      </c>
      <c r="J126">
        <v>1</v>
      </c>
      <c r="K126">
        <v>0</v>
      </c>
      <c r="L126">
        <v>54</v>
      </c>
      <c r="M126">
        <v>0</v>
      </c>
      <c r="N126">
        <v>0</v>
      </c>
      <c r="O126" t="s">
        <v>21</v>
      </c>
      <c r="P126" t="str" cm="1">
        <f t="array" ref="P1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7" spans="1:16">
      <c r="A127">
        <v>1823</v>
      </c>
      <c r="B127" t="s">
        <v>47</v>
      </c>
      <c r="C127" t="s">
        <v>16</v>
      </c>
      <c r="D127">
        <v>171.82</v>
      </c>
      <c r="E127">
        <v>4</v>
      </c>
      <c r="F127" t="s">
        <v>19</v>
      </c>
      <c r="G127" t="s">
        <v>24</v>
      </c>
      <c r="H127" t="s">
        <v>19</v>
      </c>
      <c r="I127" t="s">
        <v>20</v>
      </c>
      <c r="J127">
        <v>0</v>
      </c>
      <c r="K127">
        <v>0</v>
      </c>
      <c r="L127">
        <v>60</v>
      </c>
      <c r="M127">
        <v>3</v>
      </c>
      <c r="N127">
        <v>0</v>
      </c>
      <c r="O127" t="s">
        <v>21</v>
      </c>
      <c r="P127" t="str" cm="1">
        <f t="array" ref="P12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28" spans="1:16">
      <c r="A128">
        <v>2556</v>
      </c>
      <c r="B128" t="s">
        <v>60</v>
      </c>
      <c r="C128" t="s">
        <v>23</v>
      </c>
      <c r="D128">
        <v>558.66</v>
      </c>
      <c r="E128">
        <v>16</v>
      </c>
      <c r="F128" t="s">
        <v>19</v>
      </c>
      <c r="G128" t="s">
        <v>24</v>
      </c>
      <c r="H128" t="s">
        <v>19</v>
      </c>
      <c r="I128" t="s">
        <v>26</v>
      </c>
      <c r="J128">
        <v>0</v>
      </c>
      <c r="K128">
        <v>0</v>
      </c>
      <c r="L128">
        <v>98</v>
      </c>
      <c r="M128">
        <v>1</v>
      </c>
      <c r="N128">
        <v>0</v>
      </c>
      <c r="O128" t="s">
        <v>21</v>
      </c>
      <c r="P128" t="str" cm="1">
        <f t="array" ref="P128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129" spans="1:16">
      <c r="A129">
        <v>2582</v>
      </c>
      <c r="B129" t="s">
        <v>40</v>
      </c>
      <c r="C129" t="s">
        <v>33</v>
      </c>
      <c r="D129">
        <v>395.13</v>
      </c>
      <c r="E129">
        <v>1</v>
      </c>
      <c r="F129" t="s">
        <v>34</v>
      </c>
      <c r="G129" t="s">
        <v>24</v>
      </c>
      <c r="H129" t="s">
        <v>35</v>
      </c>
      <c r="I129" t="s">
        <v>25</v>
      </c>
      <c r="J129">
        <v>0</v>
      </c>
      <c r="K129">
        <v>0</v>
      </c>
      <c r="L129">
        <v>38</v>
      </c>
      <c r="M129">
        <v>5</v>
      </c>
      <c r="N129">
        <v>1</v>
      </c>
      <c r="O129" t="s">
        <v>36</v>
      </c>
      <c r="P129" t="str" cm="1">
        <f t="array" ref="P1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0" spans="1:16">
      <c r="A130">
        <v>7087</v>
      </c>
      <c r="B130" t="s">
        <v>15</v>
      </c>
      <c r="C130" t="s">
        <v>16</v>
      </c>
      <c r="D130">
        <v>191.03</v>
      </c>
      <c r="E130">
        <v>9</v>
      </c>
      <c r="F130" t="s">
        <v>29</v>
      </c>
      <c r="G130" t="s">
        <v>53</v>
      </c>
      <c r="H130" t="s">
        <v>48</v>
      </c>
      <c r="I130" t="s">
        <v>31</v>
      </c>
      <c r="J130">
        <v>0</v>
      </c>
      <c r="K130">
        <v>1</v>
      </c>
      <c r="L130">
        <v>57</v>
      </c>
      <c r="M130">
        <v>3</v>
      </c>
      <c r="N130">
        <v>0</v>
      </c>
      <c r="O130" t="s">
        <v>21</v>
      </c>
      <c r="P130" t="str" cm="1">
        <f t="array" ref="P1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1" spans="1:16">
      <c r="A131">
        <v>95</v>
      </c>
      <c r="B131" t="s">
        <v>32</v>
      </c>
      <c r="C131" t="s">
        <v>33</v>
      </c>
      <c r="D131">
        <v>265.3</v>
      </c>
      <c r="E131">
        <v>12</v>
      </c>
      <c r="F131" t="s">
        <v>19</v>
      </c>
      <c r="G131" t="s">
        <v>24</v>
      </c>
      <c r="H131" t="s">
        <v>25</v>
      </c>
      <c r="I131" t="s">
        <v>31</v>
      </c>
      <c r="J131">
        <v>0</v>
      </c>
      <c r="K131">
        <v>1</v>
      </c>
      <c r="L131">
        <v>55</v>
      </c>
      <c r="M131">
        <v>4</v>
      </c>
      <c r="N131">
        <v>0</v>
      </c>
      <c r="O131" t="s">
        <v>21</v>
      </c>
      <c r="P131" t="str" cm="1">
        <f t="array" ref="P1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2" spans="1:16">
      <c r="A132">
        <v>9445</v>
      </c>
      <c r="B132" t="s">
        <v>49</v>
      </c>
      <c r="C132" t="s">
        <v>16</v>
      </c>
      <c r="D132">
        <v>116.3</v>
      </c>
      <c r="E132">
        <v>6</v>
      </c>
      <c r="F132" t="s">
        <v>17</v>
      </c>
      <c r="G132" t="s">
        <v>24</v>
      </c>
      <c r="H132" t="s">
        <v>19</v>
      </c>
      <c r="I132" t="s">
        <v>20</v>
      </c>
      <c r="J132">
        <v>0</v>
      </c>
      <c r="K132">
        <v>1</v>
      </c>
      <c r="L132">
        <v>42</v>
      </c>
      <c r="M132">
        <v>3</v>
      </c>
      <c r="N132">
        <v>0</v>
      </c>
      <c r="O132" t="s">
        <v>21</v>
      </c>
      <c r="P132" t="str" cm="1">
        <f t="array" ref="P1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3" spans="1:16">
      <c r="A133">
        <v>1635</v>
      </c>
      <c r="B133" t="s">
        <v>32</v>
      </c>
      <c r="C133" t="s">
        <v>33</v>
      </c>
      <c r="D133">
        <v>471.55</v>
      </c>
      <c r="E133">
        <v>2</v>
      </c>
      <c r="F133" t="s">
        <v>50</v>
      </c>
      <c r="G133" t="s">
        <v>24</v>
      </c>
      <c r="H133" t="s">
        <v>41</v>
      </c>
      <c r="I133" t="s">
        <v>20</v>
      </c>
      <c r="J133">
        <v>0</v>
      </c>
      <c r="K133">
        <v>1</v>
      </c>
      <c r="L133">
        <v>27</v>
      </c>
      <c r="M133">
        <v>3</v>
      </c>
      <c r="N133">
        <v>1</v>
      </c>
      <c r="O133" t="s">
        <v>36</v>
      </c>
      <c r="P133" t="str" cm="1">
        <f t="array" ref="P1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4" spans="1:16">
      <c r="A134">
        <v>514</v>
      </c>
      <c r="B134" t="s">
        <v>22</v>
      </c>
      <c r="C134" t="s">
        <v>23</v>
      </c>
      <c r="D134">
        <v>361.87</v>
      </c>
      <c r="E134">
        <v>12</v>
      </c>
      <c r="F134" t="s">
        <v>29</v>
      </c>
      <c r="G134" t="s">
        <v>38</v>
      </c>
      <c r="H134" t="s">
        <v>41</v>
      </c>
      <c r="I134" t="s">
        <v>26</v>
      </c>
      <c r="J134">
        <v>0</v>
      </c>
      <c r="K134">
        <v>0</v>
      </c>
      <c r="L134">
        <v>62</v>
      </c>
      <c r="M134">
        <v>2</v>
      </c>
      <c r="N134">
        <v>0</v>
      </c>
      <c r="O134" t="s">
        <v>21</v>
      </c>
      <c r="P134" t="str" cm="1">
        <f t="array" ref="P1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5" spans="1:16">
      <c r="A135">
        <v>3071</v>
      </c>
      <c r="B135" t="s">
        <v>45</v>
      </c>
      <c r="C135" t="s">
        <v>28</v>
      </c>
      <c r="D135">
        <v>220.74</v>
      </c>
      <c r="E135">
        <v>2</v>
      </c>
      <c r="F135" t="s">
        <v>50</v>
      </c>
      <c r="G135" t="s">
        <v>24</v>
      </c>
      <c r="H135" t="s">
        <v>25</v>
      </c>
      <c r="I135" t="s">
        <v>20</v>
      </c>
      <c r="J135">
        <v>0</v>
      </c>
      <c r="K135">
        <v>0</v>
      </c>
      <c r="L135">
        <v>47</v>
      </c>
      <c r="M135">
        <v>0</v>
      </c>
      <c r="N135">
        <v>0</v>
      </c>
      <c r="O135" t="s">
        <v>21</v>
      </c>
      <c r="P135" t="str" cm="1">
        <f t="array" ref="P1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6" spans="1:16">
      <c r="A136">
        <v>9392</v>
      </c>
      <c r="B136" t="s">
        <v>61</v>
      </c>
      <c r="C136" t="s">
        <v>28</v>
      </c>
      <c r="D136">
        <v>1185.07</v>
      </c>
      <c r="E136">
        <v>0</v>
      </c>
      <c r="F136" t="s">
        <v>19</v>
      </c>
      <c r="G136" t="s">
        <v>38</v>
      </c>
      <c r="H136" t="s">
        <v>25</v>
      </c>
      <c r="I136" t="s">
        <v>31</v>
      </c>
      <c r="J136">
        <v>1</v>
      </c>
      <c r="K136">
        <v>0</v>
      </c>
      <c r="L136">
        <v>98</v>
      </c>
      <c r="M136">
        <v>3</v>
      </c>
      <c r="N136">
        <v>1</v>
      </c>
      <c r="O136" t="s">
        <v>36</v>
      </c>
      <c r="P136" t="str" cm="1">
        <f t="array" ref="P136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137" spans="1:16">
      <c r="A137">
        <v>6271</v>
      </c>
      <c r="B137" t="s">
        <v>56</v>
      </c>
      <c r="C137" t="s">
        <v>52</v>
      </c>
      <c r="D137">
        <v>77.540000000000006</v>
      </c>
      <c r="E137">
        <v>9</v>
      </c>
      <c r="F137" t="s">
        <v>34</v>
      </c>
      <c r="G137" t="s">
        <v>24</v>
      </c>
      <c r="H137" t="s">
        <v>35</v>
      </c>
      <c r="I137" t="s">
        <v>25</v>
      </c>
      <c r="J137">
        <v>0</v>
      </c>
      <c r="K137">
        <v>0</v>
      </c>
      <c r="L137">
        <v>80</v>
      </c>
      <c r="M137">
        <v>1</v>
      </c>
      <c r="N137">
        <v>0</v>
      </c>
      <c r="O137" t="s">
        <v>21</v>
      </c>
      <c r="P137" t="str" cm="1">
        <f t="array" ref="P1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8" spans="1:16">
      <c r="A138">
        <v>7978</v>
      </c>
      <c r="B138" t="s">
        <v>49</v>
      </c>
      <c r="C138" t="s">
        <v>16</v>
      </c>
      <c r="D138">
        <v>254.99</v>
      </c>
      <c r="E138">
        <v>5</v>
      </c>
      <c r="F138" t="s">
        <v>29</v>
      </c>
      <c r="G138" t="s">
        <v>44</v>
      </c>
      <c r="H138" t="s">
        <v>19</v>
      </c>
      <c r="I138" t="s">
        <v>20</v>
      </c>
      <c r="J138">
        <v>0</v>
      </c>
      <c r="K138">
        <v>0</v>
      </c>
      <c r="L138">
        <v>52</v>
      </c>
      <c r="M138">
        <v>0</v>
      </c>
      <c r="N138">
        <v>0</v>
      </c>
      <c r="O138" t="s">
        <v>21</v>
      </c>
      <c r="P138" t="str" cm="1">
        <f t="array" ref="P1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39" spans="1:16">
      <c r="A139">
        <v>6221</v>
      </c>
      <c r="B139" t="s">
        <v>59</v>
      </c>
      <c r="C139" t="s">
        <v>16</v>
      </c>
      <c r="D139">
        <v>288.31</v>
      </c>
      <c r="E139">
        <v>3</v>
      </c>
      <c r="F139" t="s">
        <v>17</v>
      </c>
      <c r="G139" t="s">
        <v>18</v>
      </c>
      <c r="H139" t="s">
        <v>25</v>
      </c>
      <c r="I139" t="s">
        <v>20</v>
      </c>
      <c r="J139">
        <v>0</v>
      </c>
      <c r="K139">
        <v>0</v>
      </c>
      <c r="L139">
        <v>89</v>
      </c>
      <c r="M139">
        <v>0</v>
      </c>
      <c r="N139">
        <v>0</v>
      </c>
      <c r="O139" t="s">
        <v>21</v>
      </c>
      <c r="P139" t="str" cm="1">
        <f t="array" ref="P1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0" spans="1:16">
      <c r="A140">
        <v>2020</v>
      </c>
      <c r="B140" t="s">
        <v>37</v>
      </c>
      <c r="C140" t="s">
        <v>16</v>
      </c>
      <c r="D140">
        <v>196.2</v>
      </c>
      <c r="E140">
        <v>3</v>
      </c>
      <c r="F140" t="s">
        <v>19</v>
      </c>
      <c r="G140" t="s">
        <v>24</v>
      </c>
      <c r="H140" t="s">
        <v>41</v>
      </c>
      <c r="I140" t="s">
        <v>20</v>
      </c>
      <c r="J140">
        <v>0</v>
      </c>
      <c r="K140">
        <v>0</v>
      </c>
      <c r="L140">
        <v>37</v>
      </c>
      <c r="M140">
        <v>2</v>
      </c>
      <c r="N140">
        <v>0</v>
      </c>
      <c r="O140" t="s">
        <v>21</v>
      </c>
      <c r="P140" t="str" cm="1">
        <f t="array" ref="P1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1" spans="1:16">
      <c r="A141">
        <v>7233</v>
      </c>
      <c r="B141" t="s">
        <v>39</v>
      </c>
      <c r="C141" t="s">
        <v>28</v>
      </c>
      <c r="D141">
        <v>8.49</v>
      </c>
      <c r="E141">
        <v>18</v>
      </c>
      <c r="F141" t="s">
        <v>34</v>
      </c>
      <c r="G141" t="s">
        <v>24</v>
      </c>
      <c r="H141" t="s">
        <v>30</v>
      </c>
      <c r="I141" t="s">
        <v>26</v>
      </c>
      <c r="J141">
        <v>0</v>
      </c>
      <c r="K141">
        <v>0</v>
      </c>
      <c r="L141">
        <v>93</v>
      </c>
      <c r="M141">
        <v>0</v>
      </c>
      <c r="N141">
        <v>0</v>
      </c>
      <c r="O141" t="s">
        <v>21</v>
      </c>
      <c r="P141" t="str" cm="1">
        <f t="array" ref="P1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2" spans="1:16">
      <c r="A142">
        <v>3690</v>
      </c>
      <c r="B142" t="s">
        <v>69</v>
      </c>
      <c r="C142" t="s">
        <v>33</v>
      </c>
      <c r="D142">
        <v>3.48</v>
      </c>
      <c r="E142">
        <v>15</v>
      </c>
      <c r="F142" t="s">
        <v>34</v>
      </c>
      <c r="G142" t="s">
        <v>24</v>
      </c>
      <c r="H142" t="s">
        <v>48</v>
      </c>
      <c r="I142" t="s">
        <v>26</v>
      </c>
      <c r="J142">
        <v>1</v>
      </c>
      <c r="K142">
        <v>1</v>
      </c>
      <c r="L142">
        <v>56</v>
      </c>
      <c r="M142">
        <v>2</v>
      </c>
      <c r="N142">
        <v>0</v>
      </c>
      <c r="O142" t="s">
        <v>21</v>
      </c>
      <c r="P142" t="str" cm="1">
        <f t="array" ref="P1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3" spans="1:16">
      <c r="A143">
        <v>6275</v>
      </c>
      <c r="B143" t="s">
        <v>49</v>
      </c>
      <c r="C143" t="s">
        <v>16</v>
      </c>
      <c r="D143">
        <v>160.87</v>
      </c>
      <c r="E143">
        <v>18</v>
      </c>
      <c r="F143" t="s">
        <v>29</v>
      </c>
      <c r="G143" t="s">
        <v>38</v>
      </c>
      <c r="H143" t="s">
        <v>30</v>
      </c>
      <c r="I143" t="s">
        <v>31</v>
      </c>
      <c r="J143">
        <v>0</v>
      </c>
      <c r="K143">
        <v>0</v>
      </c>
      <c r="L143">
        <v>31</v>
      </c>
      <c r="M143">
        <v>0</v>
      </c>
      <c r="N143">
        <v>0</v>
      </c>
      <c r="O143" t="s">
        <v>21</v>
      </c>
      <c r="P143" t="str" cm="1">
        <f t="array" ref="P1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4" spans="1:16">
      <c r="A144">
        <v>5748</v>
      </c>
      <c r="B144" t="s">
        <v>15</v>
      </c>
      <c r="C144" t="s">
        <v>16</v>
      </c>
      <c r="D144">
        <v>703.76</v>
      </c>
      <c r="E144">
        <v>8</v>
      </c>
      <c r="F144" t="s">
        <v>50</v>
      </c>
      <c r="G144" t="s">
        <v>18</v>
      </c>
      <c r="H144" t="s">
        <v>25</v>
      </c>
      <c r="I144" t="s">
        <v>20</v>
      </c>
      <c r="J144">
        <v>0</v>
      </c>
      <c r="K144">
        <v>0</v>
      </c>
      <c r="L144">
        <v>34</v>
      </c>
      <c r="M144">
        <v>2</v>
      </c>
      <c r="N144">
        <v>0</v>
      </c>
      <c r="O144" t="s">
        <v>21</v>
      </c>
      <c r="P144" t="str" cm="1">
        <f t="array" ref="P144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145" spans="1:16">
      <c r="A145">
        <v>5553</v>
      </c>
      <c r="B145" t="s">
        <v>40</v>
      </c>
      <c r="C145" t="s">
        <v>33</v>
      </c>
      <c r="D145">
        <v>515.59</v>
      </c>
      <c r="E145">
        <v>13</v>
      </c>
      <c r="F145" t="s">
        <v>19</v>
      </c>
      <c r="G145" t="s">
        <v>53</v>
      </c>
      <c r="H145" t="s">
        <v>25</v>
      </c>
      <c r="I145" t="s">
        <v>20</v>
      </c>
      <c r="J145">
        <v>0</v>
      </c>
      <c r="K145">
        <v>0</v>
      </c>
      <c r="L145">
        <v>60</v>
      </c>
      <c r="M145">
        <v>1</v>
      </c>
      <c r="N145">
        <v>0</v>
      </c>
      <c r="O145" t="s">
        <v>21</v>
      </c>
      <c r="P145" t="str" cm="1">
        <f t="array" ref="P145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146" spans="1:16">
      <c r="A146">
        <v>6720</v>
      </c>
      <c r="B146" t="s">
        <v>47</v>
      </c>
      <c r="C146" t="s">
        <v>16</v>
      </c>
      <c r="D146">
        <v>61.95</v>
      </c>
      <c r="E146">
        <v>3</v>
      </c>
      <c r="F146" t="s">
        <v>17</v>
      </c>
      <c r="G146" t="s">
        <v>38</v>
      </c>
      <c r="H146" t="s">
        <v>19</v>
      </c>
      <c r="I146" t="s">
        <v>20</v>
      </c>
      <c r="J146">
        <v>0</v>
      </c>
      <c r="K146">
        <v>1</v>
      </c>
      <c r="L146">
        <v>30</v>
      </c>
      <c r="M146">
        <v>4</v>
      </c>
      <c r="N146">
        <v>1</v>
      </c>
      <c r="O146" t="s">
        <v>36</v>
      </c>
      <c r="P146" t="str" cm="1">
        <f t="array" ref="P1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7" spans="1:16">
      <c r="A147">
        <v>881</v>
      </c>
      <c r="B147" t="s">
        <v>54</v>
      </c>
      <c r="C147" t="s">
        <v>28</v>
      </c>
      <c r="D147">
        <v>47.3</v>
      </c>
      <c r="E147">
        <v>10</v>
      </c>
      <c r="F147" t="s">
        <v>34</v>
      </c>
      <c r="G147" t="s">
        <v>44</v>
      </c>
      <c r="H147" t="s">
        <v>41</v>
      </c>
      <c r="I147" t="s">
        <v>20</v>
      </c>
      <c r="J147">
        <v>0</v>
      </c>
      <c r="K147">
        <v>0</v>
      </c>
      <c r="L147">
        <v>79</v>
      </c>
      <c r="M147">
        <v>4</v>
      </c>
      <c r="N147">
        <v>0</v>
      </c>
      <c r="O147" t="s">
        <v>21</v>
      </c>
      <c r="P147" t="str" cm="1">
        <f t="array" ref="P1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8" spans="1:16">
      <c r="A148">
        <v>3924</v>
      </c>
      <c r="B148" t="s">
        <v>55</v>
      </c>
      <c r="C148" t="s">
        <v>28</v>
      </c>
      <c r="D148">
        <v>55.65</v>
      </c>
      <c r="E148">
        <v>9</v>
      </c>
      <c r="F148" t="s">
        <v>50</v>
      </c>
      <c r="G148" t="s">
        <v>24</v>
      </c>
      <c r="H148" t="s">
        <v>48</v>
      </c>
      <c r="I148" t="s">
        <v>20</v>
      </c>
      <c r="J148">
        <v>0</v>
      </c>
      <c r="K148">
        <v>0</v>
      </c>
      <c r="L148">
        <v>51</v>
      </c>
      <c r="M148">
        <v>2</v>
      </c>
      <c r="N148">
        <v>0</v>
      </c>
      <c r="O148" t="s">
        <v>21</v>
      </c>
      <c r="P148" t="str" cm="1">
        <f t="array" ref="P1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49" spans="1:16">
      <c r="A149">
        <v>1584</v>
      </c>
      <c r="B149" t="s">
        <v>57</v>
      </c>
      <c r="C149" t="s">
        <v>43</v>
      </c>
      <c r="D149">
        <v>123.61</v>
      </c>
      <c r="E149">
        <v>0</v>
      </c>
      <c r="F149" t="s">
        <v>17</v>
      </c>
      <c r="G149" t="s">
        <v>44</v>
      </c>
      <c r="H149" t="s">
        <v>35</v>
      </c>
      <c r="I149" t="s">
        <v>20</v>
      </c>
      <c r="J149">
        <v>1</v>
      </c>
      <c r="K149">
        <v>0</v>
      </c>
      <c r="L149">
        <v>89</v>
      </c>
      <c r="M149">
        <v>2</v>
      </c>
      <c r="N149">
        <v>0</v>
      </c>
      <c r="O149" t="s">
        <v>21</v>
      </c>
      <c r="P149" t="str" cm="1">
        <f t="array" ref="P1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0" spans="1:16">
      <c r="A150">
        <v>764</v>
      </c>
      <c r="B150" t="s">
        <v>57</v>
      </c>
      <c r="C150" t="s">
        <v>43</v>
      </c>
      <c r="D150">
        <v>245.23</v>
      </c>
      <c r="E150">
        <v>14</v>
      </c>
      <c r="F150" t="s">
        <v>29</v>
      </c>
      <c r="G150" t="s">
        <v>24</v>
      </c>
      <c r="H150" t="s">
        <v>48</v>
      </c>
      <c r="I150" t="s">
        <v>31</v>
      </c>
      <c r="J150">
        <v>0</v>
      </c>
      <c r="K150">
        <v>0</v>
      </c>
      <c r="L150">
        <v>65</v>
      </c>
      <c r="M150">
        <v>1</v>
      </c>
      <c r="N150">
        <v>0</v>
      </c>
      <c r="O150" t="s">
        <v>21</v>
      </c>
      <c r="P150" t="str" cm="1">
        <f t="array" ref="P1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1" spans="1:16">
      <c r="A151">
        <v>9366</v>
      </c>
      <c r="B151" t="s">
        <v>22</v>
      </c>
      <c r="C151" t="s">
        <v>23</v>
      </c>
      <c r="D151">
        <v>126.64</v>
      </c>
      <c r="E151">
        <v>5</v>
      </c>
      <c r="F151" t="s">
        <v>19</v>
      </c>
      <c r="G151" t="s">
        <v>38</v>
      </c>
      <c r="H151" t="s">
        <v>48</v>
      </c>
      <c r="I151" t="s">
        <v>20</v>
      </c>
      <c r="J151">
        <v>0</v>
      </c>
      <c r="K151">
        <v>0</v>
      </c>
      <c r="L151">
        <v>37</v>
      </c>
      <c r="M151">
        <v>4</v>
      </c>
      <c r="N151">
        <v>0</v>
      </c>
      <c r="O151" t="s">
        <v>21</v>
      </c>
      <c r="P151" t="str" cm="1">
        <f t="array" ref="P1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2" spans="1:16">
      <c r="A152">
        <v>8248</v>
      </c>
      <c r="B152" t="s">
        <v>63</v>
      </c>
      <c r="C152" t="s">
        <v>28</v>
      </c>
      <c r="D152">
        <v>160.87</v>
      </c>
      <c r="E152">
        <v>19</v>
      </c>
      <c r="F152" t="s">
        <v>29</v>
      </c>
      <c r="G152" t="s">
        <v>18</v>
      </c>
      <c r="H152" t="s">
        <v>41</v>
      </c>
      <c r="I152" t="s">
        <v>25</v>
      </c>
      <c r="J152">
        <v>0</v>
      </c>
      <c r="K152">
        <v>0</v>
      </c>
      <c r="L152">
        <v>75</v>
      </c>
      <c r="M152">
        <v>3</v>
      </c>
      <c r="N152">
        <v>0</v>
      </c>
      <c r="O152" t="s">
        <v>21</v>
      </c>
      <c r="P152" t="str" cm="1">
        <f t="array" ref="P1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3" spans="1:16">
      <c r="A153">
        <v>3155</v>
      </c>
      <c r="B153" t="s">
        <v>45</v>
      </c>
      <c r="C153" t="s">
        <v>28</v>
      </c>
      <c r="D153">
        <v>105.19</v>
      </c>
      <c r="E153">
        <v>9</v>
      </c>
      <c r="F153" t="s">
        <v>19</v>
      </c>
      <c r="G153" t="s">
        <v>24</v>
      </c>
      <c r="H153" t="s">
        <v>35</v>
      </c>
      <c r="I153" t="s">
        <v>20</v>
      </c>
      <c r="J153">
        <v>0</v>
      </c>
      <c r="K153">
        <v>0</v>
      </c>
      <c r="L153">
        <v>47</v>
      </c>
      <c r="M153">
        <v>4</v>
      </c>
      <c r="N153">
        <v>0</v>
      </c>
      <c r="O153" t="s">
        <v>21</v>
      </c>
      <c r="P153" t="str" cm="1">
        <f t="array" ref="P1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4" spans="1:16">
      <c r="A154">
        <v>3985</v>
      </c>
      <c r="B154" t="s">
        <v>27</v>
      </c>
      <c r="C154" t="s">
        <v>28</v>
      </c>
      <c r="D154">
        <v>305.99</v>
      </c>
      <c r="E154">
        <v>1</v>
      </c>
      <c r="F154" t="s">
        <v>19</v>
      </c>
      <c r="G154" t="s">
        <v>24</v>
      </c>
      <c r="H154" t="s">
        <v>35</v>
      </c>
      <c r="I154" t="s">
        <v>31</v>
      </c>
      <c r="J154">
        <v>0</v>
      </c>
      <c r="K154">
        <v>0</v>
      </c>
      <c r="L154">
        <v>94</v>
      </c>
      <c r="M154">
        <v>1</v>
      </c>
      <c r="N154">
        <v>0</v>
      </c>
      <c r="O154" t="s">
        <v>21</v>
      </c>
      <c r="P154" t="str" cm="1">
        <f t="array" ref="P1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5" spans="1:16">
      <c r="A155">
        <v>3188</v>
      </c>
      <c r="B155" t="s">
        <v>45</v>
      </c>
      <c r="C155" t="s">
        <v>28</v>
      </c>
      <c r="D155">
        <v>78.59</v>
      </c>
      <c r="E155">
        <v>21</v>
      </c>
      <c r="F155" t="s">
        <v>29</v>
      </c>
      <c r="G155" t="s">
        <v>44</v>
      </c>
      <c r="H155" t="s">
        <v>48</v>
      </c>
      <c r="I155" t="s">
        <v>20</v>
      </c>
      <c r="J155">
        <v>0</v>
      </c>
      <c r="K155">
        <v>0</v>
      </c>
      <c r="L155">
        <v>84</v>
      </c>
      <c r="M155">
        <v>2</v>
      </c>
      <c r="N155">
        <v>0</v>
      </c>
      <c r="O155" t="s">
        <v>21</v>
      </c>
      <c r="P155" t="str" cm="1">
        <f t="array" ref="P1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6" spans="1:16">
      <c r="A156">
        <v>9872</v>
      </c>
      <c r="B156" t="s">
        <v>70</v>
      </c>
      <c r="C156" t="s">
        <v>28</v>
      </c>
      <c r="D156">
        <v>130.93</v>
      </c>
      <c r="E156">
        <v>0</v>
      </c>
      <c r="F156" t="s">
        <v>29</v>
      </c>
      <c r="G156" t="s">
        <v>24</v>
      </c>
      <c r="H156" t="s">
        <v>48</v>
      </c>
      <c r="I156" t="s">
        <v>31</v>
      </c>
      <c r="J156">
        <v>0</v>
      </c>
      <c r="K156">
        <v>0</v>
      </c>
      <c r="L156">
        <v>50</v>
      </c>
      <c r="M156">
        <v>7</v>
      </c>
      <c r="N156">
        <v>0</v>
      </c>
      <c r="O156" t="s">
        <v>21</v>
      </c>
      <c r="P156" t="str" cm="1">
        <f t="array" ref="P1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7" spans="1:16">
      <c r="A157">
        <v>3004</v>
      </c>
      <c r="B157" t="s">
        <v>68</v>
      </c>
      <c r="C157" t="s">
        <v>43</v>
      </c>
      <c r="D157">
        <v>176.49</v>
      </c>
      <c r="E157">
        <v>21</v>
      </c>
      <c r="F157" t="s">
        <v>50</v>
      </c>
      <c r="G157" t="s">
        <v>24</v>
      </c>
      <c r="H157" t="s">
        <v>30</v>
      </c>
      <c r="I157" t="s">
        <v>20</v>
      </c>
      <c r="J157">
        <v>0</v>
      </c>
      <c r="K157">
        <v>1</v>
      </c>
      <c r="L157">
        <v>50</v>
      </c>
      <c r="M157">
        <v>1</v>
      </c>
      <c r="N157">
        <v>0</v>
      </c>
      <c r="O157" t="s">
        <v>21</v>
      </c>
      <c r="P157" t="str" cm="1">
        <f t="array" ref="P1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8" spans="1:16">
      <c r="A158">
        <v>6652</v>
      </c>
      <c r="B158" t="s">
        <v>54</v>
      </c>
      <c r="C158" t="s">
        <v>28</v>
      </c>
      <c r="D158">
        <v>360.44</v>
      </c>
      <c r="E158">
        <v>6</v>
      </c>
      <c r="F158" t="s">
        <v>34</v>
      </c>
      <c r="G158" t="s">
        <v>18</v>
      </c>
      <c r="H158" t="s">
        <v>35</v>
      </c>
      <c r="I158" t="s">
        <v>25</v>
      </c>
      <c r="J158">
        <v>0</v>
      </c>
      <c r="K158">
        <v>0</v>
      </c>
      <c r="L158">
        <v>40</v>
      </c>
      <c r="M158">
        <v>0</v>
      </c>
      <c r="N158">
        <v>0</v>
      </c>
      <c r="O158" t="s">
        <v>21</v>
      </c>
      <c r="P158" t="str" cm="1">
        <f t="array" ref="P1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59" spans="1:16">
      <c r="A159">
        <v>5611</v>
      </c>
      <c r="B159" t="s">
        <v>61</v>
      </c>
      <c r="C159" t="s">
        <v>28</v>
      </c>
      <c r="D159">
        <v>14.42</v>
      </c>
      <c r="E159">
        <v>5</v>
      </c>
      <c r="F159" t="s">
        <v>17</v>
      </c>
      <c r="G159" t="s">
        <v>24</v>
      </c>
      <c r="H159" t="s">
        <v>19</v>
      </c>
      <c r="I159" t="s">
        <v>20</v>
      </c>
      <c r="J159">
        <v>0</v>
      </c>
      <c r="K159">
        <v>0</v>
      </c>
      <c r="L159">
        <v>88</v>
      </c>
      <c r="M159">
        <v>2</v>
      </c>
      <c r="N159">
        <v>0</v>
      </c>
      <c r="O159" t="s">
        <v>21</v>
      </c>
      <c r="P159" t="str" cm="1">
        <f t="array" ref="P1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0" spans="1:16">
      <c r="A160">
        <v>6691</v>
      </c>
      <c r="B160" t="s">
        <v>45</v>
      </c>
      <c r="C160" t="s">
        <v>28</v>
      </c>
      <c r="D160">
        <v>281.02999999999997</v>
      </c>
      <c r="E160">
        <v>20</v>
      </c>
      <c r="F160" t="s">
        <v>29</v>
      </c>
      <c r="G160" t="s">
        <v>38</v>
      </c>
      <c r="H160" t="s">
        <v>25</v>
      </c>
      <c r="I160" t="s">
        <v>20</v>
      </c>
      <c r="J160">
        <v>0</v>
      </c>
      <c r="K160">
        <v>0</v>
      </c>
      <c r="L160">
        <v>31</v>
      </c>
      <c r="M160">
        <v>4</v>
      </c>
      <c r="N160">
        <v>0</v>
      </c>
      <c r="O160" t="s">
        <v>21</v>
      </c>
      <c r="P160" t="str" cm="1">
        <f t="array" ref="P1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1" spans="1:16">
      <c r="A161">
        <v>1044</v>
      </c>
      <c r="B161" t="s">
        <v>54</v>
      </c>
      <c r="C161" t="s">
        <v>28</v>
      </c>
      <c r="D161">
        <v>176.98</v>
      </c>
      <c r="E161">
        <v>15</v>
      </c>
      <c r="F161" t="s">
        <v>29</v>
      </c>
      <c r="G161" t="s">
        <v>24</v>
      </c>
      <c r="H161" t="s">
        <v>41</v>
      </c>
      <c r="I161" t="s">
        <v>25</v>
      </c>
      <c r="J161">
        <v>0</v>
      </c>
      <c r="K161">
        <v>0</v>
      </c>
      <c r="L161">
        <v>60</v>
      </c>
      <c r="M161">
        <v>1</v>
      </c>
      <c r="N161">
        <v>0</v>
      </c>
      <c r="O161" t="s">
        <v>21</v>
      </c>
      <c r="P161" t="str" cm="1">
        <f t="array" ref="P1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2" spans="1:16">
      <c r="A162">
        <v>293</v>
      </c>
      <c r="B162" t="s">
        <v>27</v>
      </c>
      <c r="C162" t="s">
        <v>28</v>
      </c>
      <c r="D162">
        <v>311.27999999999997</v>
      </c>
      <c r="E162">
        <v>3</v>
      </c>
      <c r="F162" t="s">
        <v>29</v>
      </c>
      <c r="G162" t="s">
        <v>44</v>
      </c>
      <c r="H162" t="s">
        <v>35</v>
      </c>
      <c r="I162" t="s">
        <v>31</v>
      </c>
      <c r="J162">
        <v>0</v>
      </c>
      <c r="K162">
        <v>0</v>
      </c>
      <c r="L162">
        <v>40</v>
      </c>
      <c r="M162">
        <v>0</v>
      </c>
      <c r="N162">
        <v>0</v>
      </c>
      <c r="O162" t="s">
        <v>21</v>
      </c>
      <c r="P162" t="str" cm="1">
        <f t="array" ref="P1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3" spans="1:16">
      <c r="A163">
        <v>3724</v>
      </c>
      <c r="B163" t="s">
        <v>67</v>
      </c>
      <c r="C163" t="s">
        <v>28</v>
      </c>
      <c r="D163">
        <v>36.979999999999997</v>
      </c>
      <c r="E163">
        <v>18</v>
      </c>
      <c r="F163" t="s">
        <v>50</v>
      </c>
      <c r="G163" t="s">
        <v>24</v>
      </c>
      <c r="H163" t="s">
        <v>41</v>
      </c>
      <c r="I163" t="s">
        <v>31</v>
      </c>
      <c r="J163">
        <v>0</v>
      </c>
      <c r="K163">
        <v>0</v>
      </c>
      <c r="L163">
        <v>34</v>
      </c>
      <c r="M163">
        <v>5</v>
      </c>
      <c r="N163">
        <v>0</v>
      </c>
      <c r="O163" t="s">
        <v>21</v>
      </c>
      <c r="P163" t="str" cm="1">
        <f t="array" ref="P1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4" spans="1:16">
      <c r="A164">
        <v>7228</v>
      </c>
      <c r="B164" t="s">
        <v>57</v>
      </c>
      <c r="C164" t="s">
        <v>43</v>
      </c>
      <c r="D164">
        <v>20.98</v>
      </c>
      <c r="E164">
        <v>19</v>
      </c>
      <c r="F164" t="s">
        <v>50</v>
      </c>
      <c r="G164" t="s">
        <v>24</v>
      </c>
      <c r="H164" t="s">
        <v>35</v>
      </c>
      <c r="I164" t="s">
        <v>20</v>
      </c>
      <c r="J164">
        <v>0</v>
      </c>
      <c r="K164">
        <v>0</v>
      </c>
      <c r="L164">
        <v>78</v>
      </c>
      <c r="M164">
        <v>1</v>
      </c>
      <c r="N164">
        <v>0</v>
      </c>
      <c r="O164" t="s">
        <v>21</v>
      </c>
      <c r="P164" t="str" cm="1">
        <f t="array" ref="P1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5" spans="1:16">
      <c r="A165">
        <v>2197</v>
      </c>
      <c r="B165" t="s">
        <v>45</v>
      </c>
      <c r="C165" t="s">
        <v>28</v>
      </c>
      <c r="D165">
        <v>111.03</v>
      </c>
      <c r="E165">
        <v>6</v>
      </c>
      <c r="F165" t="s">
        <v>29</v>
      </c>
      <c r="G165" t="s">
        <v>44</v>
      </c>
      <c r="H165" t="s">
        <v>30</v>
      </c>
      <c r="I165" t="s">
        <v>20</v>
      </c>
      <c r="J165">
        <v>0</v>
      </c>
      <c r="K165">
        <v>0</v>
      </c>
      <c r="L165">
        <v>64</v>
      </c>
      <c r="M165">
        <v>4</v>
      </c>
      <c r="N165">
        <v>0</v>
      </c>
      <c r="O165" t="s">
        <v>21</v>
      </c>
      <c r="P165" t="str" cm="1">
        <f t="array" ref="P1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6" spans="1:16">
      <c r="A166">
        <v>8887</v>
      </c>
      <c r="B166" t="s">
        <v>47</v>
      </c>
      <c r="C166" t="s">
        <v>16</v>
      </c>
      <c r="D166">
        <v>232.29</v>
      </c>
      <c r="E166">
        <v>4</v>
      </c>
      <c r="F166" t="s">
        <v>19</v>
      </c>
      <c r="G166" t="s">
        <v>24</v>
      </c>
      <c r="H166" t="s">
        <v>35</v>
      </c>
      <c r="I166" t="s">
        <v>26</v>
      </c>
      <c r="J166">
        <v>0</v>
      </c>
      <c r="K166">
        <v>0</v>
      </c>
      <c r="L166">
        <v>43</v>
      </c>
      <c r="M166">
        <v>4</v>
      </c>
      <c r="N166">
        <v>0</v>
      </c>
      <c r="O166" t="s">
        <v>21</v>
      </c>
      <c r="P166" t="str" cm="1">
        <f t="array" ref="P1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7" spans="1:16">
      <c r="A167">
        <v>5343</v>
      </c>
      <c r="B167" t="s">
        <v>45</v>
      </c>
      <c r="C167" t="s">
        <v>28</v>
      </c>
      <c r="D167">
        <v>17.239999999999998</v>
      </c>
      <c r="E167">
        <v>17</v>
      </c>
      <c r="F167" t="s">
        <v>29</v>
      </c>
      <c r="G167" t="s">
        <v>38</v>
      </c>
      <c r="H167" t="s">
        <v>30</v>
      </c>
      <c r="I167" t="s">
        <v>31</v>
      </c>
      <c r="J167">
        <v>1</v>
      </c>
      <c r="K167">
        <v>1</v>
      </c>
      <c r="L167">
        <v>30</v>
      </c>
      <c r="M167">
        <v>2</v>
      </c>
      <c r="N167">
        <v>1</v>
      </c>
      <c r="O167" t="s">
        <v>36</v>
      </c>
      <c r="P167" t="str" cm="1">
        <f t="array" ref="P1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8" spans="1:16">
      <c r="A168">
        <v>3809</v>
      </c>
      <c r="B168" t="s">
        <v>49</v>
      </c>
      <c r="C168" t="s">
        <v>16</v>
      </c>
      <c r="D168">
        <v>9.3000000000000007</v>
      </c>
      <c r="E168">
        <v>4</v>
      </c>
      <c r="F168" t="s">
        <v>19</v>
      </c>
      <c r="G168" t="s">
        <v>24</v>
      </c>
      <c r="H168" t="s">
        <v>19</v>
      </c>
      <c r="I168" t="s">
        <v>20</v>
      </c>
      <c r="J168">
        <v>0</v>
      </c>
      <c r="K168">
        <v>0</v>
      </c>
      <c r="L168">
        <v>39</v>
      </c>
      <c r="M168">
        <v>3</v>
      </c>
      <c r="N168">
        <v>0</v>
      </c>
      <c r="O168" t="s">
        <v>21</v>
      </c>
      <c r="P168" t="str" cm="1">
        <f t="array" ref="P1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69" spans="1:16">
      <c r="A169">
        <v>4777</v>
      </c>
      <c r="B169" t="s">
        <v>47</v>
      </c>
      <c r="C169" t="s">
        <v>16</v>
      </c>
      <c r="D169">
        <v>0.11</v>
      </c>
      <c r="E169">
        <v>1</v>
      </c>
      <c r="F169" t="s">
        <v>50</v>
      </c>
      <c r="G169" t="s">
        <v>44</v>
      </c>
      <c r="H169" t="s">
        <v>35</v>
      </c>
      <c r="I169" t="s">
        <v>26</v>
      </c>
      <c r="J169">
        <v>0</v>
      </c>
      <c r="K169">
        <v>1</v>
      </c>
      <c r="L169">
        <v>25</v>
      </c>
      <c r="M169">
        <v>1</v>
      </c>
      <c r="N169">
        <v>1</v>
      </c>
      <c r="O169" t="s">
        <v>36</v>
      </c>
      <c r="P169" t="str" cm="1">
        <f t="array" ref="P1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0" spans="1:16">
      <c r="A170">
        <v>4183</v>
      </c>
      <c r="B170" t="s">
        <v>51</v>
      </c>
      <c r="C170" t="s">
        <v>52</v>
      </c>
      <c r="D170">
        <v>206.34</v>
      </c>
      <c r="E170">
        <v>17</v>
      </c>
      <c r="F170" t="s">
        <v>29</v>
      </c>
      <c r="G170" t="s">
        <v>44</v>
      </c>
      <c r="H170" t="s">
        <v>25</v>
      </c>
      <c r="I170" t="s">
        <v>31</v>
      </c>
      <c r="J170">
        <v>0</v>
      </c>
      <c r="K170">
        <v>0</v>
      </c>
      <c r="L170">
        <v>77</v>
      </c>
      <c r="M170">
        <v>5</v>
      </c>
      <c r="N170">
        <v>0</v>
      </c>
      <c r="O170" t="s">
        <v>21</v>
      </c>
      <c r="P170" t="str" cm="1">
        <f t="array" ref="P1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1" spans="1:16">
      <c r="A171">
        <v>2042</v>
      </c>
      <c r="B171" t="s">
        <v>40</v>
      </c>
      <c r="C171" t="s">
        <v>33</v>
      </c>
      <c r="D171">
        <v>148.28</v>
      </c>
      <c r="E171">
        <v>21</v>
      </c>
      <c r="F171" t="s">
        <v>29</v>
      </c>
      <c r="G171" t="s">
        <v>53</v>
      </c>
      <c r="H171" t="s">
        <v>41</v>
      </c>
      <c r="I171" t="s">
        <v>20</v>
      </c>
      <c r="J171">
        <v>0</v>
      </c>
      <c r="K171">
        <v>0</v>
      </c>
      <c r="L171">
        <v>64</v>
      </c>
      <c r="M171">
        <v>1</v>
      </c>
      <c r="N171">
        <v>0</v>
      </c>
      <c r="O171" t="s">
        <v>21</v>
      </c>
      <c r="P171" t="str" cm="1">
        <f t="array" ref="P1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2" spans="1:16">
      <c r="A172">
        <v>2306</v>
      </c>
      <c r="B172" t="s">
        <v>59</v>
      </c>
      <c r="C172" t="s">
        <v>16</v>
      </c>
      <c r="D172">
        <v>91.06</v>
      </c>
      <c r="E172">
        <v>7</v>
      </c>
      <c r="F172" t="s">
        <v>29</v>
      </c>
      <c r="G172" t="s">
        <v>24</v>
      </c>
      <c r="H172" t="s">
        <v>35</v>
      </c>
      <c r="I172" t="s">
        <v>20</v>
      </c>
      <c r="J172">
        <v>0</v>
      </c>
      <c r="K172">
        <v>0</v>
      </c>
      <c r="L172">
        <v>43</v>
      </c>
      <c r="M172">
        <v>3</v>
      </c>
      <c r="N172">
        <v>0</v>
      </c>
      <c r="O172" t="s">
        <v>21</v>
      </c>
      <c r="P172" t="str" cm="1">
        <f t="array" ref="P1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3" spans="1:16">
      <c r="A173">
        <v>2946</v>
      </c>
      <c r="B173" t="s">
        <v>27</v>
      </c>
      <c r="C173" t="s">
        <v>28</v>
      </c>
      <c r="D173">
        <v>19.47</v>
      </c>
      <c r="E173">
        <v>4</v>
      </c>
      <c r="F173" t="s">
        <v>34</v>
      </c>
      <c r="G173" t="s">
        <v>18</v>
      </c>
      <c r="H173" t="s">
        <v>19</v>
      </c>
      <c r="I173" t="s">
        <v>31</v>
      </c>
      <c r="J173">
        <v>0</v>
      </c>
      <c r="K173">
        <v>0</v>
      </c>
      <c r="L173">
        <v>69</v>
      </c>
      <c r="M173">
        <v>2</v>
      </c>
      <c r="N173">
        <v>0</v>
      </c>
      <c r="O173" t="s">
        <v>21</v>
      </c>
      <c r="P173" t="str" cm="1">
        <f t="array" ref="P1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4" spans="1:16">
      <c r="A174">
        <v>2036</v>
      </c>
      <c r="B174" t="s">
        <v>39</v>
      </c>
      <c r="C174" t="s">
        <v>28</v>
      </c>
      <c r="D174">
        <v>77.400000000000006</v>
      </c>
      <c r="E174">
        <v>18</v>
      </c>
      <c r="F174" t="s">
        <v>17</v>
      </c>
      <c r="G174" t="s">
        <v>24</v>
      </c>
      <c r="H174" t="s">
        <v>35</v>
      </c>
      <c r="I174" t="s">
        <v>20</v>
      </c>
      <c r="J174">
        <v>0</v>
      </c>
      <c r="K174">
        <v>0</v>
      </c>
      <c r="L174">
        <v>62</v>
      </c>
      <c r="M174">
        <v>0</v>
      </c>
      <c r="N174">
        <v>0</v>
      </c>
      <c r="O174" t="s">
        <v>21</v>
      </c>
      <c r="P174" t="str" cm="1">
        <f t="array" ref="P1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5" spans="1:16">
      <c r="A175">
        <v>6533</v>
      </c>
      <c r="B175" t="s">
        <v>58</v>
      </c>
      <c r="C175" t="s">
        <v>43</v>
      </c>
      <c r="D175">
        <v>469.13</v>
      </c>
      <c r="E175">
        <v>6</v>
      </c>
      <c r="F175" t="s">
        <v>29</v>
      </c>
      <c r="G175" t="s">
        <v>18</v>
      </c>
      <c r="H175" t="s">
        <v>48</v>
      </c>
      <c r="I175" t="s">
        <v>31</v>
      </c>
      <c r="J175">
        <v>0</v>
      </c>
      <c r="K175">
        <v>0</v>
      </c>
      <c r="L175">
        <v>92</v>
      </c>
      <c r="M175">
        <v>2</v>
      </c>
      <c r="N175">
        <v>0</v>
      </c>
      <c r="O175" t="s">
        <v>21</v>
      </c>
      <c r="P175" t="str" cm="1">
        <f t="array" ref="P1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6" spans="1:16">
      <c r="A176">
        <v>7122</v>
      </c>
      <c r="B176" t="s">
        <v>60</v>
      </c>
      <c r="C176" t="s">
        <v>23</v>
      </c>
      <c r="D176">
        <v>23.52</v>
      </c>
      <c r="E176">
        <v>19</v>
      </c>
      <c r="F176" t="s">
        <v>34</v>
      </c>
      <c r="G176" t="s">
        <v>18</v>
      </c>
      <c r="H176" t="s">
        <v>41</v>
      </c>
      <c r="I176" t="s">
        <v>25</v>
      </c>
      <c r="J176">
        <v>0</v>
      </c>
      <c r="K176">
        <v>1</v>
      </c>
      <c r="L176">
        <v>84</v>
      </c>
      <c r="M176">
        <v>2</v>
      </c>
      <c r="N176">
        <v>0</v>
      </c>
      <c r="O176" t="s">
        <v>21</v>
      </c>
      <c r="P176" t="str" cm="1">
        <f t="array" ref="P1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7" spans="1:16">
      <c r="A177">
        <v>3418</v>
      </c>
      <c r="B177" t="s">
        <v>54</v>
      </c>
      <c r="C177" t="s">
        <v>28</v>
      </c>
      <c r="D177">
        <v>191.21</v>
      </c>
      <c r="E177">
        <v>11</v>
      </c>
      <c r="F177" t="s">
        <v>17</v>
      </c>
      <c r="G177" t="s">
        <v>24</v>
      </c>
      <c r="H177" t="s">
        <v>35</v>
      </c>
      <c r="I177" t="s">
        <v>20</v>
      </c>
      <c r="J177">
        <v>0</v>
      </c>
      <c r="K177">
        <v>0</v>
      </c>
      <c r="L177">
        <v>51</v>
      </c>
      <c r="M177">
        <v>0</v>
      </c>
      <c r="N177">
        <v>0</v>
      </c>
      <c r="O177" t="s">
        <v>21</v>
      </c>
      <c r="P177" t="str" cm="1">
        <f t="array" ref="P1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8" spans="1:16">
      <c r="A178">
        <v>8305</v>
      </c>
      <c r="B178" t="s">
        <v>37</v>
      </c>
      <c r="C178" t="s">
        <v>16</v>
      </c>
      <c r="D178">
        <v>7.41</v>
      </c>
      <c r="E178">
        <v>19</v>
      </c>
      <c r="F178" t="s">
        <v>34</v>
      </c>
      <c r="G178" t="s">
        <v>24</v>
      </c>
      <c r="H178" t="s">
        <v>48</v>
      </c>
      <c r="I178" t="s">
        <v>20</v>
      </c>
      <c r="J178">
        <v>0</v>
      </c>
      <c r="K178">
        <v>0</v>
      </c>
      <c r="L178">
        <v>26</v>
      </c>
      <c r="M178">
        <v>3</v>
      </c>
      <c r="N178">
        <v>0</v>
      </c>
      <c r="O178" t="s">
        <v>21</v>
      </c>
      <c r="P178" t="str" cm="1">
        <f t="array" ref="P1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79" spans="1:16">
      <c r="A179">
        <v>4060</v>
      </c>
      <c r="B179" t="s">
        <v>46</v>
      </c>
      <c r="C179" t="s">
        <v>23</v>
      </c>
      <c r="D179">
        <v>868.26</v>
      </c>
      <c r="E179">
        <v>8</v>
      </c>
      <c r="F179" t="s">
        <v>17</v>
      </c>
      <c r="G179" t="s">
        <v>44</v>
      </c>
      <c r="H179" t="s">
        <v>35</v>
      </c>
      <c r="I179" t="s">
        <v>20</v>
      </c>
      <c r="J179">
        <v>0</v>
      </c>
      <c r="K179">
        <v>0</v>
      </c>
      <c r="L179">
        <v>99</v>
      </c>
      <c r="M179">
        <v>3</v>
      </c>
      <c r="N179">
        <v>0</v>
      </c>
      <c r="O179" t="s">
        <v>21</v>
      </c>
      <c r="P179" t="str" cm="1">
        <f t="array" ref="P179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180" spans="1:16">
      <c r="A180">
        <v>8911</v>
      </c>
      <c r="B180" t="s">
        <v>46</v>
      </c>
      <c r="C180" t="s">
        <v>23</v>
      </c>
      <c r="D180">
        <v>237.21</v>
      </c>
      <c r="E180">
        <v>13</v>
      </c>
      <c r="F180" t="s">
        <v>19</v>
      </c>
      <c r="G180" t="s">
        <v>44</v>
      </c>
      <c r="H180" t="s">
        <v>19</v>
      </c>
      <c r="I180" t="s">
        <v>31</v>
      </c>
      <c r="J180">
        <v>0</v>
      </c>
      <c r="K180">
        <v>0</v>
      </c>
      <c r="L180">
        <v>53</v>
      </c>
      <c r="M180">
        <v>1</v>
      </c>
      <c r="N180">
        <v>0</v>
      </c>
      <c r="O180" t="s">
        <v>21</v>
      </c>
      <c r="P180" t="str" cm="1">
        <f t="array" ref="P1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1" spans="1:16">
      <c r="A181">
        <v>7235</v>
      </c>
      <c r="B181" t="s">
        <v>46</v>
      </c>
      <c r="C181" t="s">
        <v>23</v>
      </c>
      <c r="D181">
        <v>74.400000000000006</v>
      </c>
      <c r="E181">
        <v>0</v>
      </c>
      <c r="F181" t="s">
        <v>34</v>
      </c>
      <c r="G181" t="s">
        <v>24</v>
      </c>
      <c r="H181" t="s">
        <v>19</v>
      </c>
      <c r="I181" t="s">
        <v>20</v>
      </c>
      <c r="J181">
        <v>1</v>
      </c>
      <c r="K181">
        <v>0</v>
      </c>
      <c r="L181">
        <v>36</v>
      </c>
      <c r="M181">
        <v>1</v>
      </c>
      <c r="N181">
        <v>1</v>
      </c>
      <c r="O181" t="s">
        <v>36</v>
      </c>
      <c r="P181" t="str" cm="1">
        <f t="array" ref="P1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2" spans="1:16">
      <c r="A182">
        <v>7420</v>
      </c>
      <c r="B182" t="s">
        <v>54</v>
      </c>
      <c r="C182" t="s">
        <v>28</v>
      </c>
      <c r="D182">
        <v>225.39</v>
      </c>
      <c r="E182">
        <v>1</v>
      </c>
      <c r="F182" t="s">
        <v>19</v>
      </c>
      <c r="G182" t="s">
        <v>53</v>
      </c>
      <c r="H182" t="s">
        <v>48</v>
      </c>
      <c r="I182" t="s">
        <v>20</v>
      </c>
      <c r="J182">
        <v>0</v>
      </c>
      <c r="K182">
        <v>0</v>
      </c>
      <c r="L182">
        <v>54</v>
      </c>
      <c r="M182">
        <v>2</v>
      </c>
      <c r="N182">
        <v>0</v>
      </c>
      <c r="O182" t="s">
        <v>21</v>
      </c>
      <c r="P182" t="str" cm="1">
        <f t="array" ref="P1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3" spans="1:16">
      <c r="A183">
        <v>2346</v>
      </c>
      <c r="B183" t="s">
        <v>40</v>
      </c>
      <c r="C183" t="s">
        <v>33</v>
      </c>
      <c r="D183">
        <v>198.78</v>
      </c>
      <c r="E183">
        <v>6</v>
      </c>
      <c r="F183" t="s">
        <v>29</v>
      </c>
      <c r="G183" t="s">
        <v>24</v>
      </c>
      <c r="H183" t="s">
        <v>41</v>
      </c>
      <c r="I183" t="s">
        <v>31</v>
      </c>
      <c r="J183">
        <v>0</v>
      </c>
      <c r="K183">
        <v>0</v>
      </c>
      <c r="L183">
        <v>42</v>
      </c>
      <c r="M183">
        <v>2</v>
      </c>
      <c r="N183">
        <v>0</v>
      </c>
      <c r="O183" t="s">
        <v>21</v>
      </c>
      <c r="P183" t="str" cm="1">
        <f t="array" ref="P1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4" spans="1:16">
      <c r="A184">
        <v>2926</v>
      </c>
      <c r="B184" t="s">
        <v>51</v>
      </c>
      <c r="C184" t="s">
        <v>52</v>
      </c>
      <c r="D184">
        <v>417.99</v>
      </c>
      <c r="E184">
        <v>11</v>
      </c>
      <c r="F184" t="s">
        <v>17</v>
      </c>
      <c r="G184" t="s">
        <v>44</v>
      </c>
      <c r="H184" t="s">
        <v>35</v>
      </c>
      <c r="I184" t="s">
        <v>31</v>
      </c>
      <c r="J184">
        <v>0</v>
      </c>
      <c r="K184">
        <v>0</v>
      </c>
      <c r="L184">
        <v>27</v>
      </c>
      <c r="M184">
        <v>1</v>
      </c>
      <c r="N184">
        <v>0</v>
      </c>
      <c r="O184" t="s">
        <v>21</v>
      </c>
      <c r="P184" t="str" cm="1">
        <f t="array" ref="P1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5" spans="1:16">
      <c r="A185">
        <v>436</v>
      </c>
      <c r="B185" t="s">
        <v>40</v>
      </c>
      <c r="C185" t="s">
        <v>33</v>
      </c>
      <c r="D185">
        <v>217.3</v>
      </c>
      <c r="E185">
        <v>0</v>
      </c>
      <c r="F185" t="s">
        <v>34</v>
      </c>
      <c r="G185" t="s">
        <v>24</v>
      </c>
      <c r="H185" t="s">
        <v>48</v>
      </c>
      <c r="I185" t="s">
        <v>26</v>
      </c>
      <c r="J185">
        <v>0</v>
      </c>
      <c r="K185">
        <v>0</v>
      </c>
      <c r="L185">
        <v>34</v>
      </c>
      <c r="M185">
        <v>6</v>
      </c>
      <c r="N185">
        <v>1</v>
      </c>
      <c r="O185" t="s">
        <v>36</v>
      </c>
      <c r="P185" t="str" cm="1">
        <f t="array" ref="P1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6" spans="1:16">
      <c r="A186">
        <v>7648</v>
      </c>
      <c r="B186" t="s">
        <v>40</v>
      </c>
      <c r="C186" t="s">
        <v>33</v>
      </c>
      <c r="D186">
        <v>40.200000000000003</v>
      </c>
      <c r="E186">
        <v>10</v>
      </c>
      <c r="F186" t="s">
        <v>34</v>
      </c>
      <c r="G186" t="s">
        <v>24</v>
      </c>
      <c r="H186" t="s">
        <v>30</v>
      </c>
      <c r="I186" t="s">
        <v>20</v>
      </c>
      <c r="J186">
        <v>1</v>
      </c>
      <c r="K186">
        <v>1</v>
      </c>
      <c r="L186">
        <v>38</v>
      </c>
      <c r="M186">
        <v>4</v>
      </c>
      <c r="N186">
        <v>1</v>
      </c>
      <c r="O186" t="s">
        <v>36</v>
      </c>
      <c r="P186" t="str" cm="1">
        <f t="array" ref="P1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7" spans="1:16">
      <c r="A187">
        <v>8122</v>
      </c>
      <c r="B187" t="s">
        <v>37</v>
      </c>
      <c r="C187" t="s">
        <v>16</v>
      </c>
      <c r="D187">
        <v>178.43</v>
      </c>
      <c r="E187">
        <v>3</v>
      </c>
      <c r="F187" t="s">
        <v>19</v>
      </c>
      <c r="G187" t="s">
        <v>53</v>
      </c>
      <c r="H187" t="s">
        <v>48</v>
      </c>
      <c r="I187" t="s">
        <v>20</v>
      </c>
      <c r="J187">
        <v>0</v>
      </c>
      <c r="K187">
        <v>1</v>
      </c>
      <c r="L187">
        <v>37</v>
      </c>
      <c r="M187">
        <v>0</v>
      </c>
      <c r="N187">
        <v>1</v>
      </c>
      <c r="O187" t="s">
        <v>36</v>
      </c>
      <c r="P187" t="str" cm="1">
        <f t="array" ref="P1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8" spans="1:16">
      <c r="A188">
        <v>4645</v>
      </c>
      <c r="B188" t="s">
        <v>37</v>
      </c>
      <c r="C188" t="s">
        <v>16</v>
      </c>
      <c r="D188">
        <v>219.77</v>
      </c>
      <c r="E188">
        <v>14</v>
      </c>
      <c r="F188" t="s">
        <v>50</v>
      </c>
      <c r="G188" t="s">
        <v>38</v>
      </c>
      <c r="H188" t="s">
        <v>25</v>
      </c>
      <c r="I188" t="s">
        <v>20</v>
      </c>
      <c r="J188">
        <v>0</v>
      </c>
      <c r="K188">
        <v>0</v>
      </c>
      <c r="L188">
        <v>86</v>
      </c>
      <c r="M188">
        <v>1</v>
      </c>
      <c r="N188">
        <v>0</v>
      </c>
      <c r="O188" t="s">
        <v>21</v>
      </c>
      <c r="P188" t="str" cm="1">
        <f t="array" ref="P1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89" spans="1:16">
      <c r="A189">
        <v>672</v>
      </c>
      <c r="B189" t="s">
        <v>47</v>
      </c>
      <c r="C189" t="s">
        <v>16</v>
      </c>
      <c r="D189">
        <v>408.74</v>
      </c>
      <c r="E189">
        <v>1</v>
      </c>
      <c r="F189" t="s">
        <v>34</v>
      </c>
      <c r="G189" t="s">
        <v>44</v>
      </c>
      <c r="H189" t="s">
        <v>35</v>
      </c>
      <c r="I189" t="s">
        <v>20</v>
      </c>
      <c r="J189">
        <v>0</v>
      </c>
      <c r="K189">
        <v>0</v>
      </c>
      <c r="L189">
        <v>98</v>
      </c>
      <c r="M189">
        <v>0</v>
      </c>
      <c r="N189">
        <v>0</v>
      </c>
      <c r="O189" t="s">
        <v>21</v>
      </c>
      <c r="P189" t="str" cm="1">
        <f t="array" ref="P1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0" spans="1:16">
      <c r="A190">
        <v>7416</v>
      </c>
      <c r="B190" t="s">
        <v>45</v>
      </c>
      <c r="C190" t="s">
        <v>28</v>
      </c>
      <c r="D190">
        <v>141.11000000000001</v>
      </c>
      <c r="E190">
        <v>0</v>
      </c>
      <c r="F190" t="s">
        <v>17</v>
      </c>
      <c r="G190" t="s">
        <v>24</v>
      </c>
      <c r="H190" t="s">
        <v>30</v>
      </c>
      <c r="I190" t="s">
        <v>26</v>
      </c>
      <c r="J190">
        <v>0</v>
      </c>
      <c r="K190">
        <v>0</v>
      </c>
      <c r="L190">
        <v>58</v>
      </c>
      <c r="M190">
        <v>2</v>
      </c>
      <c r="N190">
        <v>0</v>
      </c>
      <c r="O190" t="s">
        <v>21</v>
      </c>
      <c r="P190" t="str" cm="1">
        <f t="array" ref="P1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1" spans="1:16">
      <c r="A191">
        <v>4577</v>
      </c>
      <c r="B191" t="s">
        <v>32</v>
      </c>
      <c r="C191" t="s">
        <v>33</v>
      </c>
      <c r="D191">
        <v>95.18</v>
      </c>
      <c r="E191">
        <v>16</v>
      </c>
      <c r="F191" t="s">
        <v>50</v>
      </c>
      <c r="G191" t="s">
        <v>53</v>
      </c>
      <c r="H191" t="s">
        <v>35</v>
      </c>
      <c r="I191" t="s">
        <v>31</v>
      </c>
      <c r="J191">
        <v>0</v>
      </c>
      <c r="K191">
        <v>0</v>
      </c>
      <c r="L191">
        <v>76</v>
      </c>
      <c r="M191">
        <v>1</v>
      </c>
      <c r="N191">
        <v>0</v>
      </c>
      <c r="O191" t="s">
        <v>21</v>
      </c>
      <c r="P191" t="str" cm="1">
        <f t="array" ref="P1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2" spans="1:16">
      <c r="A192">
        <v>7484</v>
      </c>
      <c r="B192" t="s">
        <v>60</v>
      </c>
      <c r="C192" t="s">
        <v>23</v>
      </c>
      <c r="D192">
        <v>123.45</v>
      </c>
      <c r="E192">
        <v>0</v>
      </c>
      <c r="F192" t="s">
        <v>29</v>
      </c>
      <c r="G192" t="s">
        <v>18</v>
      </c>
      <c r="H192" t="s">
        <v>30</v>
      </c>
      <c r="I192" t="s">
        <v>20</v>
      </c>
      <c r="J192">
        <v>1</v>
      </c>
      <c r="K192">
        <v>0</v>
      </c>
      <c r="L192">
        <v>27</v>
      </c>
      <c r="M192">
        <v>0</v>
      </c>
      <c r="N192">
        <v>1</v>
      </c>
      <c r="O192" t="s">
        <v>36</v>
      </c>
      <c r="P192" t="str" cm="1">
        <f t="array" ref="P1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3" spans="1:16">
      <c r="A193">
        <v>7315</v>
      </c>
      <c r="B193" t="s">
        <v>67</v>
      </c>
      <c r="C193" t="s">
        <v>28</v>
      </c>
      <c r="D193">
        <v>12.37</v>
      </c>
      <c r="E193">
        <v>3</v>
      </c>
      <c r="F193" t="s">
        <v>17</v>
      </c>
      <c r="G193" t="s">
        <v>44</v>
      </c>
      <c r="H193" t="s">
        <v>25</v>
      </c>
      <c r="I193" t="s">
        <v>20</v>
      </c>
      <c r="J193">
        <v>0</v>
      </c>
      <c r="K193">
        <v>0</v>
      </c>
      <c r="L193">
        <v>98</v>
      </c>
      <c r="M193">
        <v>2</v>
      </c>
      <c r="N193">
        <v>0</v>
      </c>
      <c r="O193" t="s">
        <v>21</v>
      </c>
      <c r="P193" t="str" cm="1">
        <f t="array" ref="P1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4" spans="1:16">
      <c r="A194">
        <v>3304</v>
      </c>
      <c r="B194" t="s">
        <v>45</v>
      </c>
      <c r="C194" t="s">
        <v>28</v>
      </c>
      <c r="D194">
        <v>69.73</v>
      </c>
      <c r="E194">
        <v>22</v>
      </c>
      <c r="F194" t="s">
        <v>34</v>
      </c>
      <c r="G194" t="s">
        <v>38</v>
      </c>
      <c r="H194" t="s">
        <v>30</v>
      </c>
      <c r="I194" t="s">
        <v>26</v>
      </c>
      <c r="J194">
        <v>0</v>
      </c>
      <c r="K194">
        <v>0</v>
      </c>
      <c r="L194">
        <v>71</v>
      </c>
      <c r="M194">
        <v>0</v>
      </c>
      <c r="N194">
        <v>0</v>
      </c>
      <c r="O194" t="s">
        <v>21</v>
      </c>
      <c r="P194" t="str" cm="1">
        <f t="array" ref="P1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5" spans="1:16">
      <c r="A195">
        <v>2598</v>
      </c>
      <c r="B195" t="s">
        <v>59</v>
      </c>
      <c r="C195" t="s">
        <v>16</v>
      </c>
      <c r="D195">
        <v>123.58</v>
      </c>
      <c r="E195">
        <v>10</v>
      </c>
      <c r="F195" t="s">
        <v>17</v>
      </c>
      <c r="G195" t="s">
        <v>18</v>
      </c>
      <c r="H195" t="s">
        <v>41</v>
      </c>
      <c r="I195" t="s">
        <v>20</v>
      </c>
      <c r="J195">
        <v>0</v>
      </c>
      <c r="K195">
        <v>1</v>
      </c>
      <c r="L195">
        <v>26</v>
      </c>
      <c r="M195">
        <v>3</v>
      </c>
      <c r="N195">
        <v>0</v>
      </c>
      <c r="O195" t="s">
        <v>21</v>
      </c>
      <c r="P195" t="str" cm="1">
        <f t="array" ref="P1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6" spans="1:16">
      <c r="A196">
        <v>716</v>
      </c>
      <c r="B196" t="s">
        <v>27</v>
      </c>
      <c r="C196" t="s">
        <v>28</v>
      </c>
      <c r="D196">
        <v>477.46</v>
      </c>
      <c r="E196">
        <v>7</v>
      </c>
      <c r="F196" t="s">
        <v>19</v>
      </c>
      <c r="G196" t="s">
        <v>18</v>
      </c>
      <c r="H196" t="s">
        <v>25</v>
      </c>
      <c r="I196" t="s">
        <v>31</v>
      </c>
      <c r="J196">
        <v>0</v>
      </c>
      <c r="K196">
        <v>0</v>
      </c>
      <c r="L196">
        <v>64</v>
      </c>
      <c r="M196">
        <v>4</v>
      </c>
      <c r="N196">
        <v>0</v>
      </c>
      <c r="O196" t="s">
        <v>21</v>
      </c>
      <c r="P196" t="str" cm="1">
        <f t="array" ref="P1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7" spans="1:16">
      <c r="A197">
        <v>1100</v>
      </c>
      <c r="B197" t="s">
        <v>54</v>
      </c>
      <c r="C197" t="s">
        <v>28</v>
      </c>
      <c r="D197">
        <v>77.58</v>
      </c>
      <c r="E197">
        <v>9</v>
      </c>
      <c r="F197" t="s">
        <v>29</v>
      </c>
      <c r="G197" t="s">
        <v>44</v>
      </c>
      <c r="H197" t="s">
        <v>41</v>
      </c>
      <c r="I197" t="s">
        <v>20</v>
      </c>
      <c r="J197">
        <v>0</v>
      </c>
      <c r="K197">
        <v>0</v>
      </c>
      <c r="L197">
        <v>69</v>
      </c>
      <c r="M197">
        <v>2</v>
      </c>
      <c r="N197">
        <v>0</v>
      </c>
      <c r="O197" t="s">
        <v>21</v>
      </c>
      <c r="P197" t="str" cm="1">
        <f t="array" ref="P1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8" spans="1:16">
      <c r="A198">
        <v>3707</v>
      </c>
      <c r="B198" t="s">
        <v>57</v>
      </c>
      <c r="C198" t="s">
        <v>43</v>
      </c>
      <c r="D198">
        <v>241.83</v>
      </c>
      <c r="E198">
        <v>19</v>
      </c>
      <c r="F198" t="s">
        <v>17</v>
      </c>
      <c r="G198" t="s">
        <v>24</v>
      </c>
      <c r="H198" t="s">
        <v>48</v>
      </c>
      <c r="I198" t="s">
        <v>20</v>
      </c>
      <c r="J198">
        <v>1</v>
      </c>
      <c r="K198">
        <v>0</v>
      </c>
      <c r="L198">
        <v>35</v>
      </c>
      <c r="M198">
        <v>5</v>
      </c>
      <c r="N198">
        <v>1</v>
      </c>
      <c r="O198" t="s">
        <v>36</v>
      </c>
      <c r="P198" t="str" cm="1">
        <f t="array" ref="P1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99" spans="1:16">
      <c r="A199">
        <v>8246</v>
      </c>
      <c r="B199" t="s">
        <v>59</v>
      </c>
      <c r="C199" t="s">
        <v>16</v>
      </c>
      <c r="D199">
        <v>199.24</v>
      </c>
      <c r="E199">
        <v>15</v>
      </c>
      <c r="F199" t="s">
        <v>29</v>
      </c>
      <c r="G199" t="s">
        <v>24</v>
      </c>
      <c r="H199" t="s">
        <v>41</v>
      </c>
      <c r="I199" t="s">
        <v>25</v>
      </c>
      <c r="J199">
        <v>0</v>
      </c>
      <c r="K199">
        <v>1</v>
      </c>
      <c r="L199">
        <v>76</v>
      </c>
      <c r="M199">
        <v>1</v>
      </c>
      <c r="N199">
        <v>0</v>
      </c>
      <c r="O199" t="s">
        <v>21</v>
      </c>
      <c r="P199" t="str" cm="1">
        <f t="array" ref="P1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0" spans="1:16">
      <c r="A200">
        <v>7747</v>
      </c>
      <c r="B200" t="s">
        <v>60</v>
      </c>
      <c r="C200" t="s">
        <v>23</v>
      </c>
      <c r="D200">
        <v>33.82</v>
      </c>
      <c r="E200">
        <v>2</v>
      </c>
      <c r="F200" t="s">
        <v>34</v>
      </c>
      <c r="G200" t="s">
        <v>24</v>
      </c>
      <c r="H200" t="s">
        <v>48</v>
      </c>
      <c r="I200" t="s">
        <v>20</v>
      </c>
      <c r="J200">
        <v>0</v>
      </c>
      <c r="K200">
        <v>0</v>
      </c>
      <c r="L200">
        <v>82</v>
      </c>
      <c r="M200">
        <v>1</v>
      </c>
      <c r="N200">
        <v>0</v>
      </c>
      <c r="O200" t="s">
        <v>21</v>
      </c>
      <c r="P200" t="str" cm="1">
        <f t="array" ref="P2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1" spans="1:16">
      <c r="A201">
        <v>5191</v>
      </c>
      <c r="B201" t="s">
        <v>40</v>
      </c>
      <c r="C201" t="s">
        <v>33</v>
      </c>
      <c r="D201">
        <v>72.67</v>
      </c>
      <c r="E201">
        <v>12</v>
      </c>
      <c r="F201" t="s">
        <v>19</v>
      </c>
      <c r="G201" t="s">
        <v>24</v>
      </c>
      <c r="H201" t="s">
        <v>35</v>
      </c>
      <c r="I201" t="s">
        <v>20</v>
      </c>
      <c r="J201">
        <v>0</v>
      </c>
      <c r="K201">
        <v>0</v>
      </c>
      <c r="L201">
        <v>83</v>
      </c>
      <c r="M201">
        <v>1</v>
      </c>
      <c r="N201">
        <v>0</v>
      </c>
      <c r="O201" t="s">
        <v>21</v>
      </c>
      <c r="P201" t="str" cm="1">
        <f t="array" ref="P2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2" spans="1:16">
      <c r="A202">
        <v>5225</v>
      </c>
      <c r="B202" t="s">
        <v>56</v>
      </c>
      <c r="C202" t="s">
        <v>52</v>
      </c>
      <c r="D202">
        <v>91.94</v>
      </c>
      <c r="E202">
        <v>7</v>
      </c>
      <c r="F202" t="s">
        <v>34</v>
      </c>
      <c r="G202" t="s">
        <v>18</v>
      </c>
      <c r="H202" t="s">
        <v>41</v>
      </c>
      <c r="I202" t="s">
        <v>26</v>
      </c>
      <c r="J202">
        <v>0</v>
      </c>
      <c r="K202">
        <v>0</v>
      </c>
      <c r="L202">
        <v>95</v>
      </c>
      <c r="M202">
        <v>1</v>
      </c>
      <c r="N202">
        <v>0</v>
      </c>
      <c r="O202" t="s">
        <v>21</v>
      </c>
      <c r="P202" t="str" cm="1">
        <f t="array" ref="P2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3" spans="1:16">
      <c r="A203">
        <v>175</v>
      </c>
      <c r="B203" t="s">
        <v>45</v>
      </c>
      <c r="C203" t="s">
        <v>28</v>
      </c>
      <c r="D203">
        <v>186.5</v>
      </c>
      <c r="E203">
        <v>22</v>
      </c>
      <c r="F203" t="s">
        <v>17</v>
      </c>
      <c r="G203" t="s">
        <v>38</v>
      </c>
      <c r="H203" t="s">
        <v>35</v>
      </c>
      <c r="I203" t="s">
        <v>31</v>
      </c>
      <c r="J203">
        <v>0</v>
      </c>
      <c r="K203">
        <v>0</v>
      </c>
      <c r="L203">
        <v>30</v>
      </c>
      <c r="M203">
        <v>2</v>
      </c>
      <c r="N203">
        <v>0</v>
      </c>
      <c r="O203" t="s">
        <v>21</v>
      </c>
      <c r="P203" t="str" cm="1">
        <f t="array" ref="P2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4" spans="1:16">
      <c r="A204">
        <v>7159</v>
      </c>
      <c r="B204" t="s">
        <v>71</v>
      </c>
      <c r="C204" t="s">
        <v>33</v>
      </c>
      <c r="D204">
        <v>67.95</v>
      </c>
      <c r="E204">
        <v>8</v>
      </c>
      <c r="F204" t="s">
        <v>50</v>
      </c>
      <c r="G204" t="s">
        <v>18</v>
      </c>
      <c r="H204" t="s">
        <v>35</v>
      </c>
      <c r="I204" t="s">
        <v>25</v>
      </c>
      <c r="J204">
        <v>0</v>
      </c>
      <c r="K204">
        <v>0</v>
      </c>
      <c r="L204">
        <v>27</v>
      </c>
      <c r="M204">
        <v>3</v>
      </c>
      <c r="N204">
        <v>0</v>
      </c>
      <c r="O204" t="s">
        <v>21</v>
      </c>
      <c r="P204" t="str" cm="1">
        <f t="array" ref="P2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5" spans="1:16">
      <c r="A205">
        <v>3110</v>
      </c>
      <c r="B205" t="s">
        <v>40</v>
      </c>
      <c r="C205" t="s">
        <v>33</v>
      </c>
      <c r="D205">
        <v>171.02</v>
      </c>
      <c r="E205">
        <v>23</v>
      </c>
      <c r="F205" t="s">
        <v>29</v>
      </c>
      <c r="G205" t="s">
        <v>18</v>
      </c>
      <c r="H205" t="s">
        <v>48</v>
      </c>
      <c r="I205" t="s">
        <v>20</v>
      </c>
      <c r="J205">
        <v>0</v>
      </c>
      <c r="K205">
        <v>0</v>
      </c>
      <c r="L205">
        <v>62</v>
      </c>
      <c r="M205">
        <v>1</v>
      </c>
      <c r="N205">
        <v>0</v>
      </c>
      <c r="O205" t="s">
        <v>21</v>
      </c>
      <c r="P205" t="str" cm="1">
        <f t="array" ref="P2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6" spans="1:16">
      <c r="A206">
        <v>3113</v>
      </c>
      <c r="B206" t="s">
        <v>32</v>
      </c>
      <c r="C206" t="s">
        <v>33</v>
      </c>
      <c r="D206">
        <v>225.35</v>
      </c>
      <c r="E206">
        <v>0</v>
      </c>
      <c r="F206" t="s">
        <v>17</v>
      </c>
      <c r="G206" t="s">
        <v>38</v>
      </c>
      <c r="H206" t="s">
        <v>48</v>
      </c>
      <c r="I206" t="s">
        <v>20</v>
      </c>
      <c r="J206">
        <v>0</v>
      </c>
      <c r="K206">
        <v>0</v>
      </c>
      <c r="L206">
        <v>34</v>
      </c>
      <c r="M206">
        <v>7</v>
      </c>
      <c r="N206">
        <v>1</v>
      </c>
      <c r="O206" t="s">
        <v>36</v>
      </c>
      <c r="P206" t="str" cm="1">
        <f t="array" ref="P2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7" spans="1:16">
      <c r="A207">
        <v>6484</v>
      </c>
      <c r="B207" t="s">
        <v>37</v>
      </c>
      <c r="C207" t="s">
        <v>16</v>
      </c>
      <c r="D207">
        <v>1.82</v>
      </c>
      <c r="E207">
        <v>0</v>
      </c>
      <c r="F207" t="s">
        <v>34</v>
      </c>
      <c r="G207" t="s">
        <v>18</v>
      </c>
      <c r="H207" t="s">
        <v>35</v>
      </c>
      <c r="I207" t="s">
        <v>20</v>
      </c>
      <c r="J207">
        <v>1</v>
      </c>
      <c r="K207">
        <v>0</v>
      </c>
      <c r="L207">
        <v>29</v>
      </c>
      <c r="M207">
        <v>2</v>
      </c>
      <c r="N207">
        <v>1</v>
      </c>
      <c r="O207" t="s">
        <v>36</v>
      </c>
      <c r="P207" t="str" cm="1">
        <f t="array" ref="P2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8" spans="1:16">
      <c r="A208">
        <v>9791</v>
      </c>
      <c r="B208" t="s">
        <v>22</v>
      </c>
      <c r="C208" t="s">
        <v>23</v>
      </c>
      <c r="D208">
        <v>52.47</v>
      </c>
      <c r="E208">
        <v>4</v>
      </c>
      <c r="F208" t="s">
        <v>34</v>
      </c>
      <c r="G208" t="s">
        <v>53</v>
      </c>
      <c r="H208" t="s">
        <v>41</v>
      </c>
      <c r="I208" t="s">
        <v>26</v>
      </c>
      <c r="J208">
        <v>0</v>
      </c>
      <c r="K208">
        <v>0</v>
      </c>
      <c r="L208">
        <v>54</v>
      </c>
      <c r="M208">
        <v>1</v>
      </c>
      <c r="N208">
        <v>0</v>
      </c>
      <c r="O208" t="s">
        <v>21</v>
      </c>
      <c r="P208" t="str" cm="1">
        <f t="array" ref="P2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09" spans="1:16">
      <c r="A209">
        <v>2198</v>
      </c>
      <c r="B209" t="s">
        <v>70</v>
      </c>
      <c r="C209" t="s">
        <v>28</v>
      </c>
      <c r="D209">
        <v>359.87</v>
      </c>
      <c r="E209">
        <v>8</v>
      </c>
      <c r="F209" t="s">
        <v>19</v>
      </c>
      <c r="G209" t="s">
        <v>24</v>
      </c>
      <c r="H209" t="s">
        <v>48</v>
      </c>
      <c r="I209" t="s">
        <v>31</v>
      </c>
      <c r="J209">
        <v>0</v>
      </c>
      <c r="K209">
        <v>0</v>
      </c>
      <c r="L209">
        <v>89</v>
      </c>
      <c r="M209">
        <v>2</v>
      </c>
      <c r="N209">
        <v>0</v>
      </c>
      <c r="O209" t="s">
        <v>21</v>
      </c>
      <c r="P209" t="str" cm="1">
        <f t="array" ref="P2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0" spans="1:16">
      <c r="A210">
        <v>4508</v>
      </c>
      <c r="B210" t="s">
        <v>49</v>
      </c>
      <c r="C210" t="s">
        <v>16</v>
      </c>
      <c r="D210">
        <v>4.3600000000000003</v>
      </c>
      <c r="E210">
        <v>11</v>
      </c>
      <c r="F210" t="s">
        <v>17</v>
      </c>
      <c r="G210" t="s">
        <v>18</v>
      </c>
      <c r="H210" t="s">
        <v>35</v>
      </c>
      <c r="I210" t="s">
        <v>20</v>
      </c>
      <c r="J210">
        <v>0</v>
      </c>
      <c r="K210">
        <v>0</v>
      </c>
      <c r="L210">
        <v>35</v>
      </c>
      <c r="M210">
        <v>0</v>
      </c>
      <c r="N210">
        <v>0</v>
      </c>
      <c r="O210" t="s">
        <v>21</v>
      </c>
      <c r="P210" t="str" cm="1">
        <f t="array" ref="P2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1" spans="1:16">
      <c r="A211">
        <v>4648</v>
      </c>
      <c r="B211" t="s">
        <v>15</v>
      </c>
      <c r="C211" t="s">
        <v>16</v>
      </c>
      <c r="D211">
        <v>52.34</v>
      </c>
      <c r="E211">
        <v>13</v>
      </c>
      <c r="F211" t="s">
        <v>17</v>
      </c>
      <c r="G211" t="s">
        <v>44</v>
      </c>
      <c r="H211" t="s">
        <v>35</v>
      </c>
      <c r="I211" t="s">
        <v>26</v>
      </c>
      <c r="J211">
        <v>0</v>
      </c>
      <c r="K211">
        <v>0</v>
      </c>
      <c r="L211">
        <v>43</v>
      </c>
      <c r="M211">
        <v>1</v>
      </c>
      <c r="N211">
        <v>0</v>
      </c>
      <c r="O211" t="s">
        <v>21</v>
      </c>
      <c r="P211" t="str" cm="1">
        <f t="array" ref="P2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2" spans="1:16">
      <c r="A212">
        <v>3292</v>
      </c>
      <c r="B212" t="s">
        <v>37</v>
      </c>
      <c r="C212" t="s">
        <v>16</v>
      </c>
      <c r="D212">
        <v>377.72</v>
      </c>
      <c r="E212">
        <v>0</v>
      </c>
      <c r="F212" t="s">
        <v>34</v>
      </c>
      <c r="G212" t="s">
        <v>53</v>
      </c>
      <c r="H212" t="s">
        <v>35</v>
      </c>
      <c r="I212" t="s">
        <v>20</v>
      </c>
      <c r="J212">
        <v>0</v>
      </c>
      <c r="K212">
        <v>0</v>
      </c>
      <c r="L212">
        <v>41</v>
      </c>
      <c r="M212">
        <v>3</v>
      </c>
      <c r="N212">
        <v>0</v>
      </c>
      <c r="O212" t="s">
        <v>21</v>
      </c>
      <c r="P212" t="str" cm="1">
        <f t="array" ref="P2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3" spans="1:16">
      <c r="A213">
        <v>9136</v>
      </c>
      <c r="B213" t="s">
        <v>58</v>
      </c>
      <c r="C213" t="s">
        <v>43</v>
      </c>
      <c r="D213">
        <v>144.62</v>
      </c>
      <c r="E213">
        <v>21</v>
      </c>
      <c r="F213" t="s">
        <v>19</v>
      </c>
      <c r="G213" t="s">
        <v>24</v>
      </c>
      <c r="H213" t="s">
        <v>35</v>
      </c>
      <c r="I213" t="s">
        <v>20</v>
      </c>
      <c r="J213">
        <v>1</v>
      </c>
      <c r="K213">
        <v>0</v>
      </c>
      <c r="L213">
        <v>88</v>
      </c>
      <c r="M213">
        <v>1</v>
      </c>
      <c r="N213">
        <v>0</v>
      </c>
      <c r="O213" t="s">
        <v>21</v>
      </c>
      <c r="P213" t="str" cm="1">
        <f t="array" ref="P2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4" spans="1:16">
      <c r="A214">
        <v>6428</v>
      </c>
      <c r="B214" t="s">
        <v>61</v>
      </c>
      <c r="C214" t="s">
        <v>28</v>
      </c>
      <c r="D214">
        <v>262.08999999999997</v>
      </c>
      <c r="E214">
        <v>9</v>
      </c>
      <c r="F214" t="s">
        <v>17</v>
      </c>
      <c r="G214" t="s">
        <v>24</v>
      </c>
      <c r="H214" t="s">
        <v>19</v>
      </c>
      <c r="I214" t="s">
        <v>20</v>
      </c>
      <c r="J214">
        <v>0</v>
      </c>
      <c r="K214">
        <v>0</v>
      </c>
      <c r="L214">
        <v>87</v>
      </c>
      <c r="M214">
        <v>1</v>
      </c>
      <c r="N214">
        <v>0</v>
      </c>
      <c r="O214" t="s">
        <v>21</v>
      </c>
      <c r="P214" t="str" cm="1">
        <f t="array" ref="P2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5" spans="1:16">
      <c r="A215">
        <v>8259</v>
      </c>
      <c r="B215" t="s">
        <v>15</v>
      </c>
      <c r="C215" t="s">
        <v>16</v>
      </c>
      <c r="D215">
        <v>171.21</v>
      </c>
      <c r="E215">
        <v>21</v>
      </c>
      <c r="F215" t="s">
        <v>19</v>
      </c>
      <c r="G215" t="s">
        <v>53</v>
      </c>
      <c r="H215" t="s">
        <v>48</v>
      </c>
      <c r="I215" t="s">
        <v>31</v>
      </c>
      <c r="J215">
        <v>0</v>
      </c>
      <c r="K215">
        <v>1</v>
      </c>
      <c r="L215">
        <v>43</v>
      </c>
      <c r="M215">
        <v>2</v>
      </c>
      <c r="N215">
        <v>0</v>
      </c>
      <c r="O215" t="s">
        <v>21</v>
      </c>
      <c r="P215" t="str" cm="1">
        <f t="array" ref="P2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6" spans="1:16">
      <c r="A216">
        <v>9127</v>
      </c>
      <c r="B216" t="s">
        <v>57</v>
      </c>
      <c r="C216" t="s">
        <v>43</v>
      </c>
      <c r="D216">
        <v>96.75</v>
      </c>
      <c r="E216">
        <v>5</v>
      </c>
      <c r="F216" t="s">
        <v>17</v>
      </c>
      <c r="G216" t="s">
        <v>44</v>
      </c>
      <c r="H216" t="s">
        <v>35</v>
      </c>
      <c r="I216" t="s">
        <v>31</v>
      </c>
      <c r="J216">
        <v>0</v>
      </c>
      <c r="K216">
        <v>0</v>
      </c>
      <c r="L216">
        <v>51</v>
      </c>
      <c r="M216">
        <v>0</v>
      </c>
      <c r="N216">
        <v>0</v>
      </c>
      <c r="O216" t="s">
        <v>21</v>
      </c>
      <c r="P216" t="str" cm="1">
        <f t="array" ref="P2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7" spans="1:16">
      <c r="A217">
        <v>4143</v>
      </c>
      <c r="B217" t="s">
        <v>46</v>
      </c>
      <c r="C217" t="s">
        <v>23</v>
      </c>
      <c r="D217">
        <v>17.850000000000001</v>
      </c>
      <c r="E217">
        <v>0</v>
      </c>
      <c r="F217" t="s">
        <v>29</v>
      </c>
      <c r="G217" t="s">
        <v>44</v>
      </c>
      <c r="H217" t="s">
        <v>25</v>
      </c>
      <c r="I217" t="s">
        <v>20</v>
      </c>
      <c r="J217">
        <v>1</v>
      </c>
      <c r="K217">
        <v>0</v>
      </c>
      <c r="L217">
        <v>30</v>
      </c>
      <c r="M217">
        <v>3</v>
      </c>
      <c r="N217">
        <v>1</v>
      </c>
      <c r="O217" t="s">
        <v>36</v>
      </c>
      <c r="P217" t="str" cm="1">
        <f t="array" ref="P2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8" spans="1:16">
      <c r="A218">
        <v>2709</v>
      </c>
      <c r="B218" t="s">
        <v>22</v>
      </c>
      <c r="C218" t="s">
        <v>23</v>
      </c>
      <c r="D218">
        <v>3.19</v>
      </c>
      <c r="E218">
        <v>1</v>
      </c>
      <c r="F218" t="s">
        <v>34</v>
      </c>
      <c r="G218" t="s">
        <v>44</v>
      </c>
      <c r="H218" t="s">
        <v>35</v>
      </c>
      <c r="I218" t="s">
        <v>20</v>
      </c>
      <c r="J218">
        <v>1</v>
      </c>
      <c r="K218">
        <v>0</v>
      </c>
      <c r="L218">
        <v>45</v>
      </c>
      <c r="M218">
        <v>2</v>
      </c>
      <c r="N218">
        <v>0</v>
      </c>
      <c r="O218" t="s">
        <v>21</v>
      </c>
      <c r="P218" t="str" cm="1">
        <f t="array" ref="P2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19" spans="1:16">
      <c r="A219">
        <v>6620</v>
      </c>
      <c r="B219" t="s">
        <v>32</v>
      </c>
      <c r="C219" t="s">
        <v>33</v>
      </c>
      <c r="D219">
        <v>232.68</v>
      </c>
      <c r="E219">
        <v>18</v>
      </c>
      <c r="F219" t="s">
        <v>19</v>
      </c>
      <c r="G219" t="s">
        <v>53</v>
      </c>
      <c r="H219" t="s">
        <v>30</v>
      </c>
      <c r="I219" t="s">
        <v>20</v>
      </c>
      <c r="J219">
        <v>1</v>
      </c>
      <c r="K219">
        <v>0</v>
      </c>
      <c r="L219">
        <v>29</v>
      </c>
      <c r="M219">
        <v>1</v>
      </c>
      <c r="N219">
        <v>0</v>
      </c>
      <c r="O219" t="s">
        <v>21</v>
      </c>
      <c r="P219" t="str" cm="1">
        <f t="array" ref="P2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0" spans="1:16">
      <c r="A220">
        <v>7123</v>
      </c>
      <c r="B220" t="s">
        <v>66</v>
      </c>
      <c r="C220" t="s">
        <v>43</v>
      </c>
      <c r="D220">
        <v>137.46</v>
      </c>
      <c r="E220">
        <v>16</v>
      </c>
      <c r="F220" t="s">
        <v>17</v>
      </c>
      <c r="G220" t="s">
        <v>24</v>
      </c>
      <c r="H220" t="s">
        <v>35</v>
      </c>
      <c r="I220" t="s">
        <v>26</v>
      </c>
      <c r="J220">
        <v>0</v>
      </c>
      <c r="K220">
        <v>0</v>
      </c>
      <c r="L220">
        <v>72</v>
      </c>
      <c r="M220">
        <v>4</v>
      </c>
      <c r="N220">
        <v>0</v>
      </c>
      <c r="O220" t="s">
        <v>21</v>
      </c>
      <c r="P220" t="str" cm="1">
        <f t="array" ref="P2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1" spans="1:16">
      <c r="A221">
        <v>1292</v>
      </c>
      <c r="B221" t="s">
        <v>40</v>
      </c>
      <c r="C221" t="s">
        <v>33</v>
      </c>
      <c r="D221">
        <v>25.63</v>
      </c>
      <c r="E221">
        <v>1</v>
      </c>
      <c r="F221" t="s">
        <v>17</v>
      </c>
      <c r="G221" t="s">
        <v>24</v>
      </c>
      <c r="H221" t="s">
        <v>41</v>
      </c>
      <c r="I221" t="s">
        <v>26</v>
      </c>
      <c r="J221">
        <v>0</v>
      </c>
      <c r="K221">
        <v>0</v>
      </c>
      <c r="L221">
        <v>39</v>
      </c>
      <c r="M221">
        <v>3</v>
      </c>
      <c r="N221">
        <v>0</v>
      </c>
      <c r="O221" t="s">
        <v>21</v>
      </c>
      <c r="P221" t="str" cm="1">
        <f t="array" ref="P2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2" spans="1:16">
      <c r="A222">
        <v>9107</v>
      </c>
      <c r="B222" t="s">
        <v>45</v>
      </c>
      <c r="C222" t="s">
        <v>28</v>
      </c>
      <c r="D222">
        <v>28.14</v>
      </c>
      <c r="E222">
        <v>4</v>
      </c>
      <c r="F222" t="s">
        <v>19</v>
      </c>
      <c r="G222" t="s">
        <v>18</v>
      </c>
      <c r="H222" t="s">
        <v>48</v>
      </c>
      <c r="I222" t="s">
        <v>26</v>
      </c>
      <c r="J222">
        <v>0</v>
      </c>
      <c r="K222">
        <v>0</v>
      </c>
      <c r="L222">
        <v>93</v>
      </c>
      <c r="M222">
        <v>2</v>
      </c>
      <c r="N222">
        <v>0</v>
      </c>
      <c r="O222" t="s">
        <v>21</v>
      </c>
      <c r="P222" t="str" cm="1">
        <f t="array" ref="P2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3" spans="1:16">
      <c r="A223">
        <v>2170</v>
      </c>
      <c r="B223" t="s">
        <v>71</v>
      </c>
      <c r="C223" t="s">
        <v>33</v>
      </c>
      <c r="D223">
        <v>70.78</v>
      </c>
      <c r="E223">
        <v>16</v>
      </c>
      <c r="F223" t="s">
        <v>17</v>
      </c>
      <c r="G223" t="s">
        <v>24</v>
      </c>
      <c r="H223" t="s">
        <v>48</v>
      </c>
      <c r="I223" t="s">
        <v>20</v>
      </c>
      <c r="J223">
        <v>0</v>
      </c>
      <c r="K223">
        <v>0</v>
      </c>
      <c r="L223">
        <v>28</v>
      </c>
      <c r="M223">
        <v>2</v>
      </c>
      <c r="N223">
        <v>0</v>
      </c>
      <c r="O223" t="s">
        <v>21</v>
      </c>
      <c r="P223" t="str" cm="1">
        <f t="array" ref="P2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4" spans="1:16">
      <c r="A224">
        <v>8879</v>
      </c>
      <c r="B224" t="s">
        <v>46</v>
      </c>
      <c r="C224" t="s">
        <v>23</v>
      </c>
      <c r="D224">
        <v>84.19</v>
      </c>
      <c r="E224">
        <v>1</v>
      </c>
      <c r="F224" t="s">
        <v>19</v>
      </c>
      <c r="G224" t="s">
        <v>18</v>
      </c>
      <c r="H224" t="s">
        <v>35</v>
      </c>
      <c r="I224" t="s">
        <v>20</v>
      </c>
      <c r="J224">
        <v>1</v>
      </c>
      <c r="K224">
        <v>0</v>
      </c>
      <c r="L224">
        <v>33</v>
      </c>
      <c r="M224">
        <v>2</v>
      </c>
      <c r="N224">
        <v>1</v>
      </c>
      <c r="O224" t="s">
        <v>36</v>
      </c>
      <c r="P224" t="str" cm="1">
        <f t="array" ref="P2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5" spans="1:16">
      <c r="A225">
        <v>7139</v>
      </c>
      <c r="B225" t="s">
        <v>59</v>
      </c>
      <c r="C225" t="s">
        <v>16</v>
      </c>
      <c r="D225">
        <v>199.04</v>
      </c>
      <c r="E225">
        <v>1</v>
      </c>
      <c r="F225" t="s">
        <v>19</v>
      </c>
      <c r="G225" t="s">
        <v>24</v>
      </c>
      <c r="H225" t="s">
        <v>48</v>
      </c>
      <c r="I225" t="s">
        <v>20</v>
      </c>
      <c r="J225">
        <v>0</v>
      </c>
      <c r="K225">
        <v>0</v>
      </c>
      <c r="L225">
        <v>64</v>
      </c>
      <c r="M225">
        <v>2</v>
      </c>
      <c r="N225">
        <v>0</v>
      </c>
      <c r="O225" t="s">
        <v>21</v>
      </c>
      <c r="P225" t="str" cm="1">
        <f t="array" ref="P2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6" spans="1:16">
      <c r="A226">
        <v>9803</v>
      </c>
      <c r="B226" t="s">
        <v>22</v>
      </c>
      <c r="C226" t="s">
        <v>23</v>
      </c>
      <c r="D226">
        <v>25.24</v>
      </c>
      <c r="E226">
        <v>5</v>
      </c>
      <c r="F226" t="s">
        <v>34</v>
      </c>
      <c r="G226" t="s">
        <v>38</v>
      </c>
      <c r="H226" t="s">
        <v>41</v>
      </c>
      <c r="I226" t="s">
        <v>20</v>
      </c>
      <c r="J226">
        <v>1</v>
      </c>
      <c r="K226">
        <v>0</v>
      </c>
      <c r="L226">
        <v>59</v>
      </c>
      <c r="M226">
        <v>2</v>
      </c>
      <c r="N226">
        <v>0</v>
      </c>
      <c r="O226" t="s">
        <v>21</v>
      </c>
      <c r="P226" t="str" cm="1">
        <f t="array" ref="P2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7" spans="1:16">
      <c r="A227">
        <v>2632</v>
      </c>
      <c r="B227" t="s">
        <v>55</v>
      </c>
      <c r="C227" t="s">
        <v>28</v>
      </c>
      <c r="D227">
        <v>219.04</v>
      </c>
      <c r="E227">
        <v>11</v>
      </c>
      <c r="F227" t="s">
        <v>34</v>
      </c>
      <c r="G227" t="s">
        <v>24</v>
      </c>
      <c r="H227" t="s">
        <v>35</v>
      </c>
      <c r="I227" t="s">
        <v>26</v>
      </c>
      <c r="J227">
        <v>0</v>
      </c>
      <c r="K227">
        <v>0</v>
      </c>
      <c r="L227">
        <v>35</v>
      </c>
      <c r="M227">
        <v>3</v>
      </c>
      <c r="N227">
        <v>0</v>
      </c>
      <c r="O227" t="s">
        <v>21</v>
      </c>
      <c r="P227" t="str" cm="1">
        <f t="array" ref="P22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8" spans="1:16">
      <c r="A228">
        <v>711</v>
      </c>
      <c r="B228" t="s">
        <v>15</v>
      </c>
      <c r="C228" t="s">
        <v>16</v>
      </c>
      <c r="D228">
        <v>257.05</v>
      </c>
      <c r="E228">
        <v>13</v>
      </c>
      <c r="F228" t="s">
        <v>34</v>
      </c>
      <c r="G228" t="s">
        <v>18</v>
      </c>
      <c r="H228" t="s">
        <v>48</v>
      </c>
      <c r="I228" t="s">
        <v>20</v>
      </c>
      <c r="J228">
        <v>0</v>
      </c>
      <c r="K228">
        <v>0</v>
      </c>
      <c r="L228">
        <v>62</v>
      </c>
      <c r="M228">
        <v>5</v>
      </c>
      <c r="N228">
        <v>0</v>
      </c>
      <c r="O228" t="s">
        <v>21</v>
      </c>
      <c r="P228" t="str" cm="1">
        <f t="array" ref="P2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29" spans="1:16">
      <c r="A229">
        <v>8420</v>
      </c>
      <c r="B229" t="s">
        <v>32</v>
      </c>
      <c r="C229" t="s">
        <v>33</v>
      </c>
      <c r="D229">
        <v>29.22</v>
      </c>
      <c r="E229">
        <v>14</v>
      </c>
      <c r="F229" t="s">
        <v>29</v>
      </c>
      <c r="G229" t="s">
        <v>38</v>
      </c>
      <c r="H229" t="s">
        <v>35</v>
      </c>
      <c r="I229" t="s">
        <v>26</v>
      </c>
      <c r="J229">
        <v>0</v>
      </c>
      <c r="K229">
        <v>0</v>
      </c>
      <c r="L229">
        <v>40</v>
      </c>
      <c r="M229">
        <v>1</v>
      </c>
      <c r="N229">
        <v>0</v>
      </c>
      <c r="O229" t="s">
        <v>21</v>
      </c>
      <c r="P229" t="str" cm="1">
        <f t="array" ref="P2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0" spans="1:16">
      <c r="A230">
        <v>4361</v>
      </c>
      <c r="B230" t="s">
        <v>32</v>
      </c>
      <c r="C230" t="s">
        <v>33</v>
      </c>
      <c r="D230">
        <v>11.06</v>
      </c>
      <c r="E230">
        <v>16</v>
      </c>
      <c r="F230" t="s">
        <v>29</v>
      </c>
      <c r="G230" t="s">
        <v>18</v>
      </c>
      <c r="H230" t="s">
        <v>48</v>
      </c>
      <c r="I230" t="s">
        <v>20</v>
      </c>
      <c r="J230">
        <v>0</v>
      </c>
      <c r="K230">
        <v>0</v>
      </c>
      <c r="L230">
        <v>34</v>
      </c>
      <c r="M230">
        <v>1</v>
      </c>
      <c r="N230">
        <v>0</v>
      </c>
      <c r="O230" t="s">
        <v>21</v>
      </c>
      <c r="P230" t="str" cm="1">
        <f t="array" ref="P2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1" spans="1:16">
      <c r="A231">
        <v>4292</v>
      </c>
      <c r="B231" t="s">
        <v>64</v>
      </c>
      <c r="C231" t="s">
        <v>23</v>
      </c>
      <c r="D231">
        <v>14.87</v>
      </c>
      <c r="E231">
        <v>14</v>
      </c>
      <c r="F231" t="s">
        <v>34</v>
      </c>
      <c r="G231" t="s">
        <v>44</v>
      </c>
      <c r="H231" t="s">
        <v>19</v>
      </c>
      <c r="I231" t="s">
        <v>31</v>
      </c>
      <c r="J231">
        <v>0</v>
      </c>
      <c r="K231">
        <v>0</v>
      </c>
      <c r="L231">
        <v>82</v>
      </c>
      <c r="M231">
        <v>4</v>
      </c>
      <c r="N231">
        <v>0</v>
      </c>
      <c r="O231" t="s">
        <v>21</v>
      </c>
      <c r="P231" t="str" cm="1">
        <f t="array" ref="P2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2" spans="1:16">
      <c r="A232">
        <v>9214</v>
      </c>
      <c r="B232" t="s">
        <v>46</v>
      </c>
      <c r="C232" t="s">
        <v>23</v>
      </c>
      <c r="D232">
        <v>92.66</v>
      </c>
      <c r="E232">
        <v>23</v>
      </c>
      <c r="F232" t="s">
        <v>17</v>
      </c>
      <c r="G232" t="s">
        <v>18</v>
      </c>
      <c r="H232" t="s">
        <v>35</v>
      </c>
      <c r="I232" t="s">
        <v>20</v>
      </c>
      <c r="J232">
        <v>0</v>
      </c>
      <c r="K232">
        <v>1</v>
      </c>
      <c r="L232">
        <v>62</v>
      </c>
      <c r="M232">
        <v>2</v>
      </c>
      <c r="N232">
        <v>0</v>
      </c>
      <c r="O232" t="s">
        <v>21</v>
      </c>
      <c r="P232" t="str" cm="1">
        <f t="array" ref="P2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3" spans="1:16">
      <c r="A233">
        <v>5339</v>
      </c>
      <c r="B233" t="s">
        <v>27</v>
      </c>
      <c r="C233" t="s">
        <v>28</v>
      </c>
      <c r="D233">
        <v>432.62</v>
      </c>
      <c r="E233">
        <v>14</v>
      </c>
      <c r="F233" t="s">
        <v>34</v>
      </c>
      <c r="G233" t="s">
        <v>24</v>
      </c>
      <c r="H233" t="s">
        <v>19</v>
      </c>
      <c r="I233" t="s">
        <v>20</v>
      </c>
      <c r="J233">
        <v>0</v>
      </c>
      <c r="K233">
        <v>0</v>
      </c>
      <c r="L233">
        <v>38</v>
      </c>
      <c r="M233">
        <v>2</v>
      </c>
      <c r="N233">
        <v>0</v>
      </c>
      <c r="O233" t="s">
        <v>21</v>
      </c>
      <c r="P233" t="str" cm="1">
        <f t="array" ref="P2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4" spans="1:16">
      <c r="A234">
        <v>844</v>
      </c>
      <c r="B234" t="s">
        <v>59</v>
      </c>
      <c r="C234" t="s">
        <v>16</v>
      </c>
      <c r="D234">
        <v>584.28</v>
      </c>
      <c r="E234">
        <v>12</v>
      </c>
      <c r="F234" t="s">
        <v>29</v>
      </c>
      <c r="G234" t="s">
        <v>18</v>
      </c>
      <c r="H234" t="s">
        <v>25</v>
      </c>
      <c r="I234" t="s">
        <v>20</v>
      </c>
      <c r="J234">
        <v>0</v>
      </c>
      <c r="K234">
        <v>0</v>
      </c>
      <c r="L234">
        <v>97</v>
      </c>
      <c r="M234">
        <v>2</v>
      </c>
      <c r="N234">
        <v>0</v>
      </c>
      <c r="O234" t="s">
        <v>21</v>
      </c>
      <c r="P234" t="str" cm="1">
        <f t="array" ref="P234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235" spans="1:16">
      <c r="A235">
        <v>3278</v>
      </c>
      <c r="B235" t="s">
        <v>15</v>
      </c>
      <c r="C235" t="s">
        <v>16</v>
      </c>
      <c r="D235">
        <v>119.48</v>
      </c>
      <c r="E235">
        <v>5</v>
      </c>
      <c r="F235" t="s">
        <v>17</v>
      </c>
      <c r="G235" t="s">
        <v>44</v>
      </c>
      <c r="H235" t="s">
        <v>25</v>
      </c>
      <c r="I235" t="s">
        <v>31</v>
      </c>
      <c r="J235">
        <v>0</v>
      </c>
      <c r="K235">
        <v>0</v>
      </c>
      <c r="L235">
        <v>33</v>
      </c>
      <c r="M235">
        <v>0</v>
      </c>
      <c r="N235">
        <v>0</v>
      </c>
      <c r="O235" t="s">
        <v>21</v>
      </c>
      <c r="P235" t="str" cm="1">
        <f t="array" ref="P2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6" spans="1:16">
      <c r="A236">
        <v>6782</v>
      </c>
      <c r="B236" t="s">
        <v>59</v>
      </c>
      <c r="C236" t="s">
        <v>16</v>
      </c>
      <c r="D236">
        <v>118.37</v>
      </c>
      <c r="E236">
        <v>2</v>
      </c>
      <c r="F236" t="s">
        <v>34</v>
      </c>
      <c r="G236" t="s">
        <v>24</v>
      </c>
      <c r="H236" t="s">
        <v>25</v>
      </c>
      <c r="I236" t="s">
        <v>20</v>
      </c>
      <c r="J236">
        <v>1</v>
      </c>
      <c r="K236">
        <v>0</v>
      </c>
      <c r="L236">
        <v>60</v>
      </c>
      <c r="M236">
        <v>5</v>
      </c>
      <c r="N236">
        <v>1</v>
      </c>
      <c r="O236" t="s">
        <v>36</v>
      </c>
      <c r="P236" t="str" cm="1">
        <f t="array" ref="P2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7" spans="1:16">
      <c r="A237">
        <v>5226</v>
      </c>
      <c r="B237" t="s">
        <v>67</v>
      </c>
      <c r="C237" t="s">
        <v>28</v>
      </c>
      <c r="D237">
        <v>10.64</v>
      </c>
      <c r="E237">
        <v>7</v>
      </c>
      <c r="F237" t="s">
        <v>29</v>
      </c>
      <c r="G237" t="s">
        <v>38</v>
      </c>
      <c r="H237" t="s">
        <v>41</v>
      </c>
      <c r="I237" t="s">
        <v>26</v>
      </c>
      <c r="J237">
        <v>0</v>
      </c>
      <c r="K237">
        <v>0</v>
      </c>
      <c r="L237">
        <v>65</v>
      </c>
      <c r="M237">
        <v>3</v>
      </c>
      <c r="N237">
        <v>0</v>
      </c>
      <c r="O237" t="s">
        <v>21</v>
      </c>
      <c r="P237" t="str" cm="1">
        <f t="array" ref="P2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8" spans="1:16">
      <c r="A238">
        <v>3509</v>
      </c>
      <c r="B238" t="s">
        <v>37</v>
      </c>
      <c r="C238" t="s">
        <v>16</v>
      </c>
      <c r="D238">
        <v>338.37</v>
      </c>
      <c r="E238">
        <v>22</v>
      </c>
      <c r="F238" t="s">
        <v>17</v>
      </c>
      <c r="G238" t="s">
        <v>53</v>
      </c>
      <c r="H238" t="s">
        <v>35</v>
      </c>
      <c r="I238" t="s">
        <v>26</v>
      </c>
      <c r="J238">
        <v>0</v>
      </c>
      <c r="K238">
        <v>0</v>
      </c>
      <c r="L238">
        <v>75</v>
      </c>
      <c r="M238">
        <v>3</v>
      </c>
      <c r="N238">
        <v>0</v>
      </c>
      <c r="O238" t="s">
        <v>21</v>
      </c>
      <c r="P238" t="str" cm="1">
        <f t="array" ref="P2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39" spans="1:16">
      <c r="A239">
        <v>8368</v>
      </c>
      <c r="B239" t="s">
        <v>63</v>
      </c>
      <c r="C239" t="s">
        <v>28</v>
      </c>
      <c r="D239">
        <v>280.8</v>
      </c>
      <c r="E239">
        <v>8</v>
      </c>
      <c r="F239" t="s">
        <v>29</v>
      </c>
      <c r="G239" t="s">
        <v>38</v>
      </c>
      <c r="H239" t="s">
        <v>41</v>
      </c>
      <c r="I239" t="s">
        <v>26</v>
      </c>
      <c r="J239">
        <v>0</v>
      </c>
      <c r="K239">
        <v>0</v>
      </c>
      <c r="L239">
        <v>57</v>
      </c>
      <c r="M239">
        <v>2</v>
      </c>
      <c r="N239">
        <v>0</v>
      </c>
      <c r="O239" t="s">
        <v>21</v>
      </c>
      <c r="P239" t="str" cm="1">
        <f t="array" ref="P2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0" spans="1:16">
      <c r="A240">
        <v>2644</v>
      </c>
      <c r="B240" t="s">
        <v>46</v>
      </c>
      <c r="C240" t="s">
        <v>23</v>
      </c>
      <c r="D240">
        <v>185.98</v>
      </c>
      <c r="E240">
        <v>14</v>
      </c>
      <c r="F240" t="s">
        <v>34</v>
      </c>
      <c r="G240" t="s">
        <v>24</v>
      </c>
      <c r="H240" t="s">
        <v>35</v>
      </c>
      <c r="I240" t="s">
        <v>20</v>
      </c>
      <c r="J240">
        <v>0</v>
      </c>
      <c r="K240">
        <v>0</v>
      </c>
      <c r="L240">
        <v>64</v>
      </c>
      <c r="M240">
        <v>2</v>
      </c>
      <c r="N240">
        <v>0</v>
      </c>
      <c r="O240" t="s">
        <v>21</v>
      </c>
      <c r="P240" t="str" cm="1">
        <f t="array" ref="P2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1" spans="1:16">
      <c r="A241">
        <v>76</v>
      </c>
      <c r="B241" t="s">
        <v>59</v>
      </c>
      <c r="C241" t="s">
        <v>16</v>
      </c>
      <c r="D241">
        <v>235.02</v>
      </c>
      <c r="E241">
        <v>4</v>
      </c>
      <c r="F241" t="s">
        <v>19</v>
      </c>
      <c r="G241" t="s">
        <v>18</v>
      </c>
      <c r="H241" t="s">
        <v>19</v>
      </c>
      <c r="I241" t="s">
        <v>20</v>
      </c>
      <c r="J241">
        <v>0</v>
      </c>
      <c r="K241">
        <v>1</v>
      </c>
      <c r="L241">
        <v>38</v>
      </c>
      <c r="M241">
        <v>2</v>
      </c>
      <c r="N241">
        <v>0</v>
      </c>
      <c r="O241" t="s">
        <v>21</v>
      </c>
      <c r="P241" t="str" cm="1">
        <f t="array" ref="P2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2" spans="1:16">
      <c r="A242">
        <v>1339</v>
      </c>
      <c r="B242" t="s">
        <v>37</v>
      </c>
      <c r="C242" t="s">
        <v>16</v>
      </c>
      <c r="D242">
        <v>13.49</v>
      </c>
      <c r="E242">
        <v>5</v>
      </c>
      <c r="F242" t="s">
        <v>34</v>
      </c>
      <c r="G242" t="s">
        <v>24</v>
      </c>
      <c r="H242" t="s">
        <v>41</v>
      </c>
      <c r="I242" t="s">
        <v>26</v>
      </c>
      <c r="J242">
        <v>1</v>
      </c>
      <c r="K242">
        <v>0</v>
      </c>
      <c r="L242">
        <v>38</v>
      </c>
      <c r="M242">
        <v>6</v>
      </c>
      <c r="N242">
        <v>1</v>
      </c>
      <c r="O242" t="s">
        <v>36</v>
      </c>
      <c r="P242" t="str" cm="1">
        <f t="array" ref="P2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3" spans="1:16">
      <c r="A243">
        <v>8429</v>
      </c>
      <c r="B243" t="s">
        <v>64</v>
      </c>
      <c r="C243" t="s">
        <v>23</v>
      </c>
      <c r="D243">
        <v>66.44</v>
      </c>
      <c r="E243">
        <v>6</v>
      </c>
      <c r="F243" t="s">
        <v>34</v>
      </c>
      <c r="G243" t="s">
        <v>38</v>
      </c>
      <c r="H243" t="s">
        <v>35</v>
      </c>
      <c r="I243" t="s">
        <v>20</v>
      </c>
      <c r="J243">
        <v>0</v>
      </c>
      <c r="K243">
        <v>0</v>
      </c>
      <c r="L243">
        <v>33</v>
      </c>
      <c r="M243">
        <v>0</v>
      </c>
      <c r="N243">
        <v>0</v>
      </c>
      <c r="O243" t="s">
        <v>21</v>
      </c>
      <c r="P243" t="str" cm="1">
        <f t="array" ref="P2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4" spans="1:16">
      <c r="A244">
        <v>5468</v>
      </c>
      <c r="B244" t="s">
        <v>49</v>
      </c>
      <c r="C244" t="s">
        <v>16</v>
      </c>
      <c r="D244">
        <v>351.76</v>
      </c>
      <c r="E244">
        <v>8</v>
      </c>
      <c r="F244" t="s">
        <v>34</v>
      </c>
      <c r="G244" t="s">
        <v>24</v>
      </c>
      <c r="H244" t="s">
        <v>35</v>
      </c>
      <c r="I244" t="s">
        <v>31</v>
      </c>
      <c r="J244">
        <v>0</v>
      </c>
      <c r="K244">
        <v>0</v>
      </c>
      <c r="L244">
        <v>62</v>
      </c>
      <c r="M244">
        <v>0</v>
      </c>
      <c r="N244">
        <v>0</v>
      </c>
      <c r="O244" t="s">
        <v>21</v>
      </c>
      <c r="P244" t="str" cm="1">
        <f t="array" ref="P2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5" spans="1:16">
      <c r="A245">
        <v>8393</v>
      </c>
      <c r="B245" t="s">
        <v>32</v>
      </c>
      <c r="C245" t="s">
        <v>33</v>
      </c>
      <c r="D245">
        <v>575.99</v>
      </c>
      <c r="E245">
        <v>15</v>
      </c>
      <c r="F245" t="s">
        <v>29</v>
      </c>
      <c r="G245" t="s">
        <v>24</v>
      </c>
      <c r="H245" t="s">
        <v>35</v>
      </c>
      <c r="I245" t="s">
        <v>31</v>
      </c>
      <c r="J245">
        <v>1</v>
      </c>
      <c r="K245">
        <v>0</v>
      </c>
      <c r="L245">
        <v>98</v>
      </c>
      <c r="M245">
        <v>3</v>
      </c>
      <c r="N245">
        <v>0</v>
      </c>
      <c r="O245" t="s">
        <v>21</v>
      </c>
      <c r="P245" t="str" cm="1">
        <f t="array" ref="P245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246" spans="1:16">
      <c r="A246">
        <v>7736</v>
      </c>
      <c r="B246" t="s">
        <v>61</v>
      </c>
      <c r="C246" t="s">
        <v>28</v>
      </c>
      <c r="D246">
        <v>180.85</v>
      </c>
      <c r="E246">
        <v>2</v>
      </c>
      <c r="F246" t="s">
        <v>17</v>
      </c>
      <c r="G246" t="s">
        <v>24</v>
      </c>
      <c r="H246" t="s">
        <v>48</v>
      </c>
      <c r="I246" t="s">
        <v>31</v>
      </c>
      <c r="J246">
        <v>0</v>
      </c>
      <c r="K246">
        <v>0</v>
      </c>
      <c r="L246">
        <v>26</v>
      </c>
      <c r="M246">
        <v>5</v>
      </c>
      <c r="N246">
        <v>1</v>
      </c>
      <c r="O246" t="s">
        <v>36</v>
      </c>
      <c r="P246" t="str" cm="1">
        <f t="array" ref="P2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7" spans="1:16">
      <c r="A247">
        <v>7040</v>
      </c>
      <c r="B247" t="s">
        <v>32</v>
      </c>
      <c r="C247" t="s">
        <v>33</v>
      </c>
      <c r="D247">
        <v>196.12</v>
      </c>
      <c r="E247">
        <v>4</v>
      </c>
      <c r="F247" t="s">
        <v>19</v>
      </c>
      <c r="G247" t="s">
        <v>24</v>
      </c>
      <c r="H247" t="s">
        <v>48</v>
      </c>
      <c r="I247" t="s">
        <v>20</v>
      </c>
      <c r="J247">
        <v>0</v>
      </c>
      <c r="K247">
        <v>0</v>
      </c>
      <c r="L247">
        <v>59</v>
      </c>
      <c r="M247">
        <v>2</v>
      </c>
      <c r="N247">
        <v>0</v>
      </c>
      <c r="O247" t="s">
        <v>21</v>
      </c>
      <c r="P247" t="str" cm="1">
        <f t="array" ref="P2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8" spans="1:16">
      <c r="A248">
        <v>6461</v>
      </c>
      <c r="B248" t="s">
        <v>45</v>
      </c>
      <c r="C248" t="s">
        <v>28</v>
      </c>
      <c r="D248">
        <v>55.48</v>
      </c>
      <c r="E248">
        <v>3</v>
      </c>
      <c r="F248" t="s">
        <v>19</v>
      </c>
      <c r="G248" t="s">
        <v>24</v>
      </c>
      <c r="H248" t="s">
        <v>19</v>
      </c>
      <c r="I248" t="s">
        <v>20</v>
      </c>
      <c r="J248">
        <v>1</v>
      </c>
      <c r="K248">
        <v>1</v>
      </c>
      <c r="L248">
        <v>40</v>
      </c>
      <c r="M248">
        <v>2</v>
      </c>
      <c r="N248">
        <v>1</v>
      </c>
      <c r="O248" t="s">
        <v>36</v>
      </c>
      <c r="P248" t="str" cm="1">
        <f t="array" ref="P2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49" spans="1:16">
      <c r="A249">
        <v>766</v>
      </c>
      <c r="B249" t="s">
        <v>57</v>
      </c>
      <c r="C249" t="s">
        <v>43</v>
      </c>
      <c r="D249">
        <v>151.87</v>
      </c>
      <c r="E249">
        <v>12</v>
      </c>
      <c r="F249" t="s">
        <v>19</v>
      </c>
      <c r="G249" t="s">
        <v>18</v>
      </c>
      <c r="H249" t="s">
        <v>35</v>
      </c>
      <c r="I249" t="s">
        <v>31</v>
      </c>
      <c r="J249">
        <v>0</v>
      </c>
      <c r="K249">
        <v>0</v>
      </c>
      <c r="L249">
        <v>71</v>
      </c>
      <c r="M249">
        <v>1</v>
      </c>
      <c r="N249">
        <v>0</v>
      </c>
      <c r="O249" t="s">
        <v>21</v>
      </c>
      <c r="P249" t="str" cm="1">
        <f t="array" ref="P2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0" spans="1:16">
      <c r="A250">
        <v>3767</v>
      </c>
      <c r="B250" t="s">
        <v>37</v>
      </c>
      <c r="C250" t="s">
        <v>16</v>
      </c>
      <c r="D250">
        <v>163.18</v>
      </c>
      <c r="E250">
        <v>17</v>
      </c>
      <c r="F250" t="s">
        <v>29</v>
      </c>
      <c r="G250" t="s">
        <v>44</v>
      </c>
      <c r="H250" t="s">
        <v>30</v>
      </c>
      <c r="I250" t="s">
        <v>31</v>
      </c>
      <c r="J250">
        <v>0</v>
      </c>
      <c r="K250">
        <v>0</v>
      </c>
      <c r="L250">
        <v>27</v>
      </c>
      <c r="M250">
        <v>0</v>
      </c>
      <c r="N250">
        <v>0</v>
      </c>
      <c r="O250" t="s">
        <v>21</v>
      </c>
      <c r="P250" t="str" cm="1">
        <f t="array" ref="P2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1" spans="1:16">
      <c r="A251">
        <v>6579</v>
      </c>
      <c r="B251" t="s">
        <v>45</v>
      </c>
      <c r="C251" t="s">
        <v>28</v>
      </c>
      <c r="D251">
        <v>83.31</v>
      </c>
      <c r="E251">
        <v>14</v>
      </c>
      <c r="F251" t="s">
        <v>50</v>
      </c>
      <c r="G251" t="s">
        <v>24</v>
      </c>
      <c r="H251" t="s">
        <v>41</v>
      </c>
      <c r="I251" t="s">
        <v>20</v>
      </c>
      <c r="J251">
        <v>0</v>
      </c>
      <c r="K251">
        <v>0</v>
      </c>
      <c r="L251">
        <v>48</v>
      </c>
      <c r="M251">
        <v>3</v>
      </c>
      <c r="N251">
        <v>0</v>
      </c>
      <c r="O251" t="s">
        <v>21</v>
      </c>
      <c r="P251" t="str" cm="1">
        <f t="array" ref="P2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2" spans="1:16">
      <c r="A252">
        <v>8753</v>
      </c>
      <c r="B252" t="s">
        <v>32</v>
      </c>
      <c r="C252" t="s">
        <v>33</v>
      </c>
      <c r="D252">
        <v>52.13</v>
      </c>
      <c r="E252">
        <v>6</v>
      </c>
      <c r="F252" t="s">
        <v>17</v>
      </c>
      <c r="G252" t="s">
        <v>24</v>
      </c>
      <c r="H252" t="s">
        <v>35</v>
      </c>
      <c r="I252" t="s">
        <v>20</v>
      </c>
      <c r="J252">
        <v>0</v>
      </c>
      <c r="K252">
        <v>0</v>
      </c>
      <c r="L252">
        <v>38</v>
      </c>
      <c r="M252">
        <v>3</v>
      </c>
      <c r="N252">
        <v>0</v>
      </c>
      <c r="O252" t="s">
        <v>21</v>
      </c>
      <c r="P252" t="str" cm="1">
        <f t="array" ref="P2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3" spans="1:16">
      <c r="A253">
        <v>3453</v>
      </c>
      <c r="B253" t="s">
        <v>45</v>
      </c>
      <c r="C253" t="s">
        <v>28</v>
      </c>
      <c r="D253">
        <v>203.72</v>
      </c>
      <c r="E253">
        <v>3</v>
      </c>
      <c r="F253" t="s">
        <v>50</v>
      </c>
      <c r="G253" t="s">
        <v>24</v>
      </c>
      <c r="H253" t="s">
        <v>48</v>
      </c>
      <c r="I253" t="s">
        <v>20</v>
      </c>
      <c r="J253">
        <v>0</v>
      </c>
      <c r="K253">
        <v>0</v>
      </c>
      <c r="L253">
        <v>42</v>
      </c>
      <c r="M253">
        <v>1</v>
      </c>
      <c r="N253">
        <v>0</v>
      </c>
      <c r="O253" t="s">
        <v>21</v>
      </c>
      <c r="P253" t="str" cm="1">
        <f t="array" ref="P2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4" spans="1:16">
      <c r="A254">
        <v>2776</v>
      </c>
      <c r="B254" t="s">
        <v>72</v>
      </c>
      <c r="C254" t="s">
        <v>16</v>
      </c>
      <c r="D254">
        <v>102.07</v>
      </c>
      <c r="E254">
        <v>14</v>
      </c>
      <c r="F254" t="s">
        <v>19</v>
      </c>
      <c r="G254" t="s">
        <v>24</v>
      </c>
      <c r="H254" t="s">
        <v>48</v>
      </c>
      <c r="I254" t="s">
        <v>20</v>
      </c>
      <c r="J254">
        <v>0</v>
      </c>
      <c r="K254">
        <v>0</v>
      </c>
      <c r="L254">
        <v>62</v>
      </c>
      <c r="M254">
        <v>1</v>
      </c>
      <c r="N254">
        <v>0</v>
      </c>
      <c r="O254" t="s">
        <v>21</v>
      </c>
      <c r="P254" t="str" cm="1">
        <f t="array" ref="P2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5" spans="1:16">
      <c r="A255">
        <v>2070</v>
      </c>
      <c r="B255" t="s">
        <v>47</v>
      </c>
      <c r="C255" t="s">
        <v>16</v>
      </c>
      <c r="D255">
        <v>72.14</v>
      </c>
      <c r="E255">
        <v>15</v>
      </c>
      <c r="F255" t="s">
        <v>34</v>
      </c>
      <c r="G255" t="s">
        <v>18</v>
      </c>
      <c r="H255" t="s">
        <v>41</v>
      </c>
      <c r="I255" t="s">
        <v>26</v>
      </c>
      <c r="J255">
        <v>0</v>
      </c>
      <c r="K255">
        <v>0</v>
      </c>
      <c r="L255">
        <v>47</v>
      </c>
      <c r="M255">
        <v>3</v>
      </c>
      <c r="N255">
        <v>0</v>
      </c>
      <c r="O255" t="s">
        <v>21</v>
      </c>
      <c r="P255" t="str" cm="1">
        <f t="array" ref="P2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6" spans="1:16">
      <c r="A256">
        <v>7983</v>
      </c>
      <c r="B256" t="s">
        <v>37</v>
      </c>
      <c r="C256" t="s">
        <v>16</v>
      </c>
      <c r="D256">
        <v>209.82</v>
      </c>
      <c r="E256">
        <v>14</v>
      </c>
      <c r="F256" t="s">
        <v>34</v>
      </c>
      <c r="G256" t="s">
        <v>44</v>
      </c>
      <c r="H256" t="s">
        <v>35</v>
      </c>
      <c r="I256" t="s">
        <v>20</v>
      </c>
      <c r="J256">
        <v>0</v>
      </c>
      <c r="K256">
        <v>0</v>
      </c>
      <c r="L256">
        <v>74</v>
      </c>
      <c r="M256">
        <v>3</v>
      </c>
      <c r="N256">
        <v>0</v>
      </c>
      <c r="O256" t="s">
        <v>21</v>
      </c>
      <c r="P256" t="str" cm="1">
        <f t="array" ref="P2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7" spans="1:16">
      <c r="A257">
        <v>5242</v>
      </c>
      <c r="B257" t="s">
        <v>73</v>
      </c>
      <c r="C257" t="s">
        <v>43</v>
      </c>
      <c r="D257">
        <v>98.28</v>
      </c>
      <c r="E257">
        <v>1</v>
      </c>
      <c r="F257" t="s">
        <v>19</v>
      </c>
      <c r="G257" t="s">
        <v>24</v>
      </c>
      <c r="H257" t="s">
        <v>30</v>
      </c>
      <c r="I257" t="s">
        <v>25</v>
      </c>
      <c r="J257">
        <v>0</v>
      </c>
      <c r="K257">
        <v>0</v>
      </c>
      <c r="L257">
        <v>95</v>
      </c>
      <c r="M257">
        <v>4</v>
      </c>
      <c r="N257">
        <v>0</v>
      </c>
      <c r="O257" t="s">
        <v>21</v>
      </c>
      <c r="P257" t="str" cm="1">
        <f t="array" ref="P2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8" spans="1:16">
      <c r="A258">
        <v>4158</v>
      </c>
      <c r="B258" t="s">
        <v>45</v>
      </c>
      <c r="C258" t="s">
        <v>28</v>
      </c>
      <c r="D258">
        <v>342.87</v>
      </c>
      <c r="E258">
        <v>1</v>
      </c>
      <c r="F258" t="s">
        <v>50</v>
      </c>
      <c r="G258" t="s">
        <v>24</v>
      </c>
      <c r="H258" t="s">
        <v>19</v>
      </c>
      <c r="I258" t="s">
        <v>20</v>
      </c>
      <c r="J258">
        <v>1</v>
      </c>
      <c r="K258">
        <v>1</v>
      </c>
      <c r="L258">
        <v>55</v>
      </c>
      <c r="M258">
        <v>2</v>
      </c>
      <c r="N258">
        <v>1</v>
      </c>
      <c r="O258" t="s">
        <v>36</v>
      </c>
      <c r="P258" t="str" cm="1">
        <f t="array" ref="P2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59" spans="1:16">
      <c r="A259">
        <v>6584</v>
      </c>
      <c r="B259" t="s">
        <v>37</v>
      </c>
      <c r="C259" t="s">
        <v>16</v>
      </c>
      <c r="D259">
        <v>16.309999999999999</v>
      </c>
      <c r="E259">
        <v>23</v>
      </c>
      <c r="F259" t="s">
        <v>50</v>
      </c>
      <c r="G259" t="s">
        <v>24</v>
      </c>
      <c r="H259" t="s">
        <v>19</v>
      </c>
      <c r="I259" t="s">
        <v>20</v>
      </c>
      <c r="J259">
        <v>0</v>
      </c>
      <c r="K259">
        <v>0</v>
      </c>
      <c r="L259">
        <v>38</v>
      </c>
      <c r="M259">
        <v>1</v>
      </c>
      <c r="N259">
        <v>0</v>
      </c>
      <c r="O259" t="s">
        <v>21</v>
      </c>
      <c r="P259" t="str" cm="1">
        <f t="array" ref="P2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0" spans="1:16">
      <c r="A260">
        <v>6921</v>
      </c>
      <c r="B260" t="s">
        <v>73</v>
      </c>
      <c r="C260" t="s">
        <v>43</v>
      </c>
      <c r="D260">
        <v>490.38</v>
      </c>
      <c r="E260">
        <v>15</v>
      </c>
      <c r="F260" t="s">
        <v>19</v>
      </c>
      <c r="G260" t="s">
        <v>44</v>
      </c>
      <c r="H260" t="s">
        <v>35</v>
      </c>
      <c r="I260" t="s">
        <v>31</v>
      </c>
      <c r="J260">
        <v>0</v>
      </c>
      <c r="K260">
        <v>0</v>
      </c>
      <c r="L260">
        <v>47</v>
      </c>
      <c r="M260">
        <v>3</v>
      </c>
      <c r="N260">
        <v>0</v>
      </c>
      <c r="O260" t="s">
        <v>21</v>
      </c>
      <c r="P260" t="str" cm="1">
        <f t="array" ref="P2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1" spans="1:16">
      <c r="A261">
        <v>9974</v>
      </c>
      <c r="B261" t="s">
        <v>60</v>
      </c>
      <c r="C261" t="s">
        <v>23</v>
      </c>
      <c r="D261">
        <v>11.22</v>
      </c>
      <c r="E261">
        <v>1</v>
      </c>
      <c r="F261" t="s">
        <v>34</v>
      </c>
      <c r="G261" t="s">
        <v>38</v>
      </c>
      <c r="H261" t="s">
        <v>25</v>
      </c>
      <c r="I261" t="s">
        <v>20</v>
      </c>
      <c r="J261">
        <v>0</v>
      </c>
      <c r="K261">
        <v>1</v>
      </c>
      <c r="L261">
        <v>25</v>
      </c>
      <c r="M261">
        <v>4</v>
      </c>
      <c r="N261">
        <v>1</v>
      </c>
      <c r="O261" t="s">
        <v>36</v>
      </c>
      <c r="P261" t="str" cm="1">
        <f t="array" ref="P2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2" spans="1:16">
      <c r="A262">
        <v>2123</v>
      </c>
      <c r="B262" t="s">
        <v>65</v>
      </c>
      <c r="C262" t="s">
        <v>16</v>
      </c>
      <c r="D262">
        <v>614.72</v>
      </c>
      <c r="E262">
        <v>8</v>
      </c>
      <c r="F262" t="s">
        <v>34</v>
      </c>
      <c r="G262" t="s">
        <v>53</v>
      </c>
      <c r="H262" t="s">
        <v>48</v>
      </c>
      <c r="I262" t="s">
        <v>20</v>
      </c>
      <c r="J262">
        <v>1</v>
      </c>
      <c r="K262">
        <v>0</v>
      </c>
      <c r="L262">
        <v>36</v>
      </c>
      <c r="M262">
        <v>6</v>
      </c>
      <c r="N262">
        <v>1</v>
      </c>
      <c r="O262" t="s">
        <v>36</v>
      </c>
      <c r="P262" t="str" cm="1">
        <f t="array" ref="P262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263" spans="1:16">
      <c r="A263">
        <v>6532</v>
      </c>
      <c r="B263" t="s">
        <v>63</v>
      </c>
      <c r="C263" t="s">
        <v>28</v>
      </c>
      <c r="D263">
        <v>417.43</v>
      </c>
      <c r="E263">
        <v>3</v>
      </c>
      <c r="F263" t="s">
        <v>50</v>
      </c>
      <c r="G263" t="s">
        <v>24</v>
      </c>
      <c r="H263" t="s">
        <v>48</v>
      </c>
      <c r="I263" t="s">
        <v>26</v>
      </c>
      <c r="J263">
        <v>0</v>
      </c>
      <c r="K263">
        <v>0</v>
      </c>
      <c r="L263">
        <v>31</v>
      </c>
      <c r="M263">
        <v>5</v>
      </c>
      <c r="N263">
        <v>1</v>
      </c>
      <c r="O263" t="s">
        <v>36</v>
      </c>
      <c r="P263" t="str" cm="1">
        <f t="array" ref="P2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4" spans="1:16">
      <c r="A264">
        <v>3005</v>
      </c>
      <c r="B264" t="s">
        <v>45</v>
      </c>
      <c r="C264" t="s">
        <v>28</v>
      </c>
      <c r="D264">
        <v>152.65</v>
      </c>
      <c r="E264">
        <v>19</v>
      </c>
      <c r="F264" t="s">
        <v>50</v>
      </c>
      <c r="G264" t="s">
        <v>24</v>
      </c>
      <c r="H264" t="s">
        <v>35</v>
      </c>
      <c r="I264" t="s">
        <v>20</v>
      </c>
      <c r="J264">
        <v>1</v>
      </c>
      <c r="K264">
        <v>0</v>
      </c>
      <c r="L264">
        <v>38</v>
      </c>
      <c r="M264">
        <v>3</v>
      </c>
      <c r="N264">
        <v>0</v>
      </c>
      <c r="O264" t="s">
        <v>21</v>
      </c>
      <c r="P264" t="str" cm="1">
        <f t="array" ref="P2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5" spans="1:16">
      <c r="A265">
        <v>911</v>
      </c>
      <c r="B265" t="s">
        <v>54</v>
      </c>
      <c r="C265" t="s">
        <v>28</v>
      </c>
      <c r="D265">
        <v>160.62</v>
      </c>
      <c r="E265">
        <v>8</v>
      </c>
      <c r="F265" t="s">
        <v>19</v>
      </c>
      <c r="G265" t="s">
        <v>18</v>
      </c>
      <c r="H265" t="s">
        <v>25</v>
      </c>
      <c r="I265" t="s">
        <v>20</v>
      </c>
      <c r="J265">
        <v>0</v>
      </c>
      <c r="K265">
        <v>0</v>
      </c>
      <c r="L265">
        <v>43</v>
      </c>
      <c r="M265">
        <v>2</v>
      </c>
      <c r="N265">
        <v>0</v>
      </c>
      <c r="O265" t="s">
        <v>21</v>
      </c>
      <c r="P265" t="str" cm="1">
        <f t="array" ref="P2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6" spans="1:16">
      <c r="A266">
        <v>773</v>
      </c>
      <c r="B266" t="s">
        <v>46</v>
      </c>
      <c r="C266" t="s">
        <v>23</v>
      </c>
      <c r="D266">
        <v>24.55</v>
      </c>
      <c r="E266">
        <v>21</v>
      </c>
      <c r="F266" t="s">
        <v>29</v>
      </c>
      <c r="G266" t="s">
        <v>38</v>
      </c>
      <c r="H266" t="s">
        <v>19</v>
      </c>
      <c r="I266" t="s">
        <v>31</v>
      </c>
      <c r="J266">
        <v>1</v>
      </c>
      <c r="K266">
        <v>0</v>
      </c>
      <c r="L266">
        <v>91</v>
      </c>
      <c r="M266">
        <v>3</v>
      </c>
      <c r="N266">
        <v>0</v>
      </c>
      <c r="O266" t="s">
        <v>21</v>
      </c>
      <c r="P266" t="str" cm="1">
        <f t="array" ref="P2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7" spans="1:16">
      <c r="A267">
        <v>6821</v>
      </c>
      <c r="B267" t="s">
        <v>72</v>
      </c>
      <c r="C267" t="s">
        <v>16</v>
      </c>
      <c r="D267">
        <v>118.48</v>
      </c>
      <c r="E267">
        <v>14</v>
      </c>
      <c r="F267" t="s">
        <v>34</v>
      </c>
      <c r="G267" t="s">
        <v>38</v>
      </c>
      <c r="H267" t="s">
        <v>35</v>
      </c>
      <c r="I267" t="s">
        <v>26</v>
      </c>
      <c r="J267">
        <v>0</v>
      </c>
      <c r="K267">
        <v>0</v>
      </c>
      <c r="L267">
        <v>50</v>
      </c>
      <c r="M267">
        <v>4</v>
      </c>
      <c r="N267">
        <v>0</v>
      </c>
      <c r="O267" t="s">
        <v>21</v>
      </c>
      <c r="P267" t="str" cm="1">
        <f t="array" ref="P2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8" spans="1:16">
      <c r="A268">
        <v>282</v>
      </c>
      <c r="B268" t="s">
        <v>56</v>
      </c>
      <c r="C268" t="s">
        <v>52</v>
      </c>
      <c r="D268">
        <v>74.25</v>
      </c>
      <c r="E268">
        <v>9</v>
      </c>
      <c r="F268" t="s">
        <v>29</v>
      </c>
      <c r="G268" t="s">
        <v>44</v>
      </c>
      <c r="H268" t="s">
        <v>19</v>
      </c>
      <c r="I268" t="s">
        <v>20</v>
      </c>
      <c r="J268">
        <v>0</v>
      </c>
      <c r="K268">
        <v>0</v>
      </c>
      <c r="L268">
        <v>60</v>
      </c>
      <c r="M268">
        <v>0</v>
      </c>
      <c r="N268">
        <v>0</v>
      </c>
      <c r="O268" t="s">
        <v>21</v>
      </c>
      <c r="P268" t="str" cm="1">
        <f t="array" ref="P2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69" spans="1:16">
      <c r="A269">
        <v>6002</v>
      </c>
      <c r="B269" t="s">
        <v>32</v>
      </c>
      <c r="C269" t="s">
        <v>33</v>
      </c>
      <c r="D269">
        <v>34.06</v>
      </c>
      <c r="E269">
        <v>23</v>
      </c>
      <c r="F269" t="s">
        <v>19</v>
      </c>
      <c r="G269" t="s">
        <v>24</v>
      </c>
      <c r="H269" t="s">
        <v>41</v>
      </c>
      <c r="I269" t="s">
        <v>26</v>
      </c>
      <c r="J269">
        <v>0</v>
      </c>
      <c r="K269">
        <v>1</v>
      </c>
      <c r="L269">
        <v>31</v>
      </c>
      <c r="M269">
        <v>5</v>
      </c>
      <c r="N269">
        <v>1</v>
      </c>
      <c r="O269" t="s">
        <v>36</v>
      </c>
      <c r="P269" t="str" cm="1">
        <f t="array" ref="P2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0" spans="1:16">
      <c r="A270">
        <v>2316</v>
      </c>
      <c r="B270" t="s">
        <v>63</v>
      </c>
      <c r="C270" t="s">
        <v>28</v>
      </c>
      <c r="D270">
        <v>25.38</v>
      </c>
      <c r="E270">
        <v>19</v>
      </c>
      <c r="F270" t="s">
        <v>29</v>
      </c>
      <c r="G270" t="s">
        <v>44</v>
      </c>
      <c r="H270" t="s">
        <v>35</v>
      </c>
      <c r="I270" t="s">
        <v>20</v>
      </c>
      <c r="J270">
        <v>0</v>
      </c>
      <c r="K270">
        <v>0</v>
      </c>
      <c r="L270">
        <v>68</v>
      </c>
      <c r="M270">
        <v>0</v>
      </c>
      <c r="N270">
        <v>0</v>
      </c>
      <c r="O270" t="s">
        <v>21</v>
      </c>
      <c r="P270" t="str" cm="1">
        <f t="array" ref="P2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1" spans="1:16">
      <c r="A271">
        <v>9021</v>
      </c>
      <c r="B271" t="s">
        <v>46</v>
      </c>
      <c r="C271" t="s">
        <v>23</v>
      </c>
      <c r="D271">
        <v>57.28</v>
      </c>
      <c r="E271">
        <v>5</v>
      </c>
      <c r="F271" t="s">
        <v>50</v>
      </c>
      <c r="G271" t="s">
        <v>18</v>
      </c>
      <c r="H271" t="s">
        <v>48</v>
      </c>
      <c r="I271" t="s">
        <v>20</v>
      </c>
      <c r="J271">
        <v>0</v>
      </c>
      <c r="K271">
        <v>0</v>
      </c>
      <c r="L271">
        <v>37</v>
      </c>
      <c r="M271">
        <v>1</v>
      </c>
      <c r="N271">
        <v>0</v>
      </c>
      <c r="O271" t="s">
        <v>21</v>
      </c>
      <c r="P271" t="str" cm="1">
        <f t="array" ref="P2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2" spans="1:16">
      <c r="A272">
        <v>7508</v>
      </c>
      <c r="B272" t="s">
        <v>46</v>
      </c>
      <c r="C272" t="s">
        <v>23</v>
      </c>
      <c r="D272">
        <v>71.27</v>
      </c>
      <c r="E272">
        <v>14</v>
      </c>
      <c r="F272" t="s">
        <v>19</v>
      </c>
      <c r="G272" t="s">
        <v>18</v>
      </c>
      <c r="H272" t="s">
        <v>41</v>
      </c>
      <c r="I272" t="s">
        <v>26</v>
      </c>
      <c r="J272">
        <v>0</v>
      </c>
      <c r="K272">
        <v>0</v>
      </c>
      <c r="L272">
        <v>27</v>
      </c>
      <c r="M272">
        <v>1</v>
      </c>
      <c r="N272">
        <v>0</v>
      </c>
      <c r="O272" t="s">
        <v>21</v>
      </c>
      <c r="P272" t="str" cm="1">
        <f t="array" ref="P2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3" spans="1:16">
      <c r="A273">
        <v>1639</v>
      </c>
      <c r="B273" t="s">
        <v>32</v>
      </c>
      <c r="C273" t="s">
        <v>33</v>
      </c>
      <c r="D273">
        <v>880.32</v>
      </c>
      <c r="E273">
        <v>23</v>
      </c>
      <c r="F273" t="s">
        <v>17</v>
      </c>
      <c r="G273" t="s">
        <v>18</v>
      </c>
      <c r="H273" t="s">
        <v>35</v>
      </c>
      <c r="I273" t="s">
        <v>26</v>
      </c>
      <c r="J273">
        <v>0</v>
      </c>
      <c r="K273">
        <v>0</v>
      </c>
      <c r="L273">
        <v>32</v>
      </c>
      <c r="M273">
        <v>3</v>
      </c>
      <c r="N273">
        <v>0</v>
      </c>
      <c r="O273" t="s">
        <v>21</v>
      </c>
      <c r="P273" t="str" cm="1">
        <f t="array" ref="P273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274" spans="1:16">
      <c r="A274">
        <v>9792</v>
      </c>
      <c r="B274" t="s">
        <v>45</v>
      </c>
      <c r="C274" t="s">
        <v>28</v>
      </c>
      <c r="D274">
        <v>131.13999999999999</v>
      </c>
      <c r="E274">
        <v>7</v>
      </c>
      <c r="F274" t="s">
        <v>19</v>
      </c>
      <c r="G274" t="s">
        <v>38</v>
      </c>
      <c r="H274" t="s">
        <v>35</v>
      </c>
      <c r="I274" t="s">
        <v>26</v>
      </c>
      <c r="J274">
        <v>0</v>
      </c>
      <c r="K274">
        <v>0</v>
      </c>
      <c r="L274">
        <v>32</v>
      </c>
      <c r="M274">
        <v>1</v>
      </c>
      <c r="N274">
        <v>0</v>
      </c>
      <c r="O274" t="s">
        <v>21</v>
      </c>
      <c r="P274" t="str" cm="1">
        <f t="array" ref="P2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5" spans="1:16">
      <c r="A275">
        <v>4774</v>
      </c>
      <c r="B275" t="s">
        <v>27</v>
      </c>
      <c r="C275" t="s">
        <v>28</v>
      </c>
      <c r="D275">
        <v>307.54000000000002</v>
      </c>
      <c r="E275">
        <v>20</v>
      </c>
      <c r="F275" t="s">
        <v>17</v>
      </c>
      <c r="G275" t="s">
        <v>38</v>
      </c>
      <c r="H275" t="s">
        <v>48</v>
      </c>
      <c r="I275" t="s">
        <v>20</v>
      </c>
      <c r="J275">
        <v>0</v>
      </c>
      <c r="K275">
        <v>0</v>
      </c>
      <c r="L275">
        <v>29</v>
      </c>
      <c r="M275">
        <v>2</v>
      </c>
      <c r="N275">
        <v>0</v>
      </c>
      <c r="O275" t="s">
        <v>21</v>
      </c>
      <c r="P275" t="str" cm="1">
        <f t="array" ref="P2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6" spans="1:16">
      <c r="A276">
        <v>4680</v>
      </c>
      <c r="B276" t="s">
        <v>37</v>
      </c>
      <c r="C276" t="s">
        <v>16</v>
      </c>
      <c r="D276">
        <v>179.64</v>
      </c>
      <c r="E276">
        <v>5</v>
      </c>
      <c r="F276" t="s">
        <v>50</v>
      </c>
      <c r="G276" t="s">
        <v>44</v>
      </c>
      <c r="H276" t="s">
        <v>48</v>
      </c>
      <c r="I276" t="s">
        <v>31</v>
      </c>
      <c r="J276">
        <v>0</v>
      </c>
      <c r="K276">
        <v>0</v>
      </c>
      <c r="L276">
        <v>54</v>
      </c>
      <c r="M276">
        <v>5</v>
      </c>
      <c r="N276">
        <v>0</v>
      </c>
      <c r="O276" t="s">
        <v>21</v>
      </c>
      <c r="P276" t="str" cm="1">
        <f t="array" ref="P2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7" spans="1:16">
      <c r="A277">
        <v>5383</v>
      </c>
      <c r="B277" t="s">
        <v>45</v>
      </c>
      <c r="C277" t="s">
        <v>28</v>
      </c>
      <c r="D277">
        <v>54.41</v>
      </c>
      <c r="E277">
        <v>16</v>
      </c>
      <c r="F277" t="s">
        <v>29</v>
      </c>
      <c r="G277" t="s">
        <v>24</v>
      </c>
      <c r="H277" t="s">
        <v>35</v>
      </c>
      <c r="I277" t="s">
        <v>20</v>
      </c>
      <c r="J277">
        <v>0</v>
      </c>
      <c r="K277">
        <v>0</v>
      </c>
      <c r="L277">
        <v>71</v>
      </c>
      <c r="M277">
        <v>1</v>
      </c>
      <c r="N277">
        <v>0</v>
      </c>
      <c r="O277" t="s">
        <v>21</v>
      </c>
      <c r="P277" t="str" cm="1">
        <f t="array" ref="P2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8" spans="1:16">
      <c r="A278">
        <v>7949</v>
      </c>
      <c r="B278" t="s">
        <v>51</v>
      </c>
      <c r="C278" t="s">
        <v>52</v>
      </c>
      <c r="D278">
        <v>483.65</v>
      </c>
      <c r="E278">
        <v>19</v>
      </c>
      <c r="F278" t="s">
        <v>50</v>
      </c>
      <c r="G278" t="s">
        <v>24</v>
      </c>
      <c r="H278" t="s">
        <v>48</v>
      </c>
      <c r="I278" t="s">
        <v>20</v>
      </c>
      <c r="J278">
        <v>0</v>
      </c>
      <c r="K278">
        <v>0</v>
      </c>
      <c r="L278">
        <v>45</v>
      </c>
      <c r="M278">
        <v>2</v>
      </c>
      <c r="N278">
        <v>0</v>
      </c>
      <c r="O278" t="s">
        <v>21</v>
      </c>
      <c r="P278" t="str" cm="1">
        <f t="array" ref="P2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79" spans="1:16">
      <c r="A279">
        <v>3589</v>
      </c>
      <c r="B279" t="s">
        <v>45</v>
      </c>
      <c r="C279" t="s">
        <v>28</v>
      </c>
      <c r="D279">
        <v>24.24</v>
      </c>
      <c r="E279">
        <v>15</v>
      </c>
      <c r="F279" t="s">
        <v>17</v>
      </c>
      <c r="G279" t="s">
        <v>53</v>
      </c>
      <c r="H279" t="s">
        <v>25</v>
      </c>
      <c r="I279" t="s">
        <v>31</v>
      </c>
      <c r="J279">
        <v>1</v>
      </c>
      <c r="K279">
        <v>0</v>
      </c>
      <c r="L279">
        <v>77</v>
      </c>
      <c r="M279">
        <v>3</v>
      </c>
      <c r="N279">
        <v>0</v>
      </c>
      <c r="O279" t="s">
        <v>21</v>
      </c>
      <c r="P279" t="str" cm="1">
        <f t="array" ref="P2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0" spans="1:16">
      <c r="A280">
        <v>5913</v>
      </c>
      <c r="B280" t="s">
        <v>27</v>
      </c>
      <c r="C280" t="s">
        <v>28</v>
      </c>
      <c r="D280">
        <v>223.08</v>
      </c>
      <c r="E280">
        <v>21</v>
      </c>
      <c r="F280" t="s">
        <v>29</v>
      </c>
      <c r="G280" t="s">
        <v>24</v>
      </c>
      <c r="H280" t="s">
        <v>35</v>
      </c>
      <c r="I280" t="s">
        <v>20</v>
      </c>
      <c r="J280">
        <v>0</v>
      </c>
      <c r="K280">
        <v>0</v>
      </c>
      <c r="L280">
        <v>85</v>
      </c>
      <c r="M280">
        <v>2</v>
      </c>
      <c r="N280">
        <v>0</v>
      </c>
      <c r="O280" t="s">
        <v>21</v>
      </c>
      <c r="P280" t="str" cm="1">
        <f t="array" ref="P2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1" spans="1:16">
      <c r="A281">
        <v>6269</v>
      </c>
      <c r="B281" t="s">
        <v>39</v>
      </c>
      <c r="C281" t="s">
        <v>28</v>
      </c>
      <c r="D281">
        <v>64.989999999999995</v>
      </c>
      <c r="E281">
        <v>22</v>
      </c>
      <c r="F281" t="s">
        <v>19</v>
      </c>
      <c r="G281" t="s">
        <v>18</v>
      </c>
      <c r="H281" t="s">
        <v>19</v>
      </c>
      <c r="I281" t="s">
        <v>31</v>
      </c>
      <c r="J281">
        <v>0</v>
      </c>
      <c r="K281">
        <v>0</v>
      </c>
      <c r="L281">
        <v>55</v>
      </c>
      <c r="M281">
        <v>4</v>
      </c>
      <c r="N281">
        <v>0</v>
      </c>
      <c r="O281" t="s">
        <v>21</v>
      </c>
      <c r="P281" t="str" cm="1">
        <f t="array" ref="P2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2" spans="1:16">
      <c r="A282">
        <v>3282</v>
      </c>
      <c r="B282" t="s">
        <v>49</v>
      </c>
      <c r="C282" t="s">
        <v>16</v>
      </c>
      <c r="D282">
        <v>36.479999999999997</v>
      </c>
      <c r="E282">
        <v>6</v>
      </c>
      <c r="F282" t="s">
        <v>50</v>
      </c>
      <c r="G282" t="s">
        <v>24</v>
      </c>
      <c r="H282" t="s">
        <v>35</v>
      </c>
      <c r="I282" t="s">
        <v>26</v>
      </c>
      <c r="J282">
        <v>0</v>
      </c>
      <c r="K282">
        <v>0</v>
      </c>
      <c r="L282">
        <v>38</v>
      </c>
      <c r="M282">
        <v>0</v>
      </c>
      <c r="N282">
        <v>0</v>
      </c>
      <c r="O282" t="s">
        <v>21</v>
      </c>
      <c r="P282" t="str" cm="1">
        <f t="array" ref="P2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3" spans="1:16">
      <c r="A283">
        <v>9833</v>
      </c>
      <c r="B283" t="s">
        <v>46</v>
      </c>
      <c r="C283" t="s">
        <v>23</v>
      </c>
      <c r="D283">
        <v>31.93</v>
      </c>
      <c r="E283">
        <v>9</v>
      </c>
      <c r="F283" t="s">
        <v>34</v>
      </c>
      <c r="G283" t="s">
        <v>24</v>
      </c>
      <c r="H283" t="s">
        <v>35</v>
      </c>
      <c r="I283" t="s">
        <v>31</v>
      </c>
      <c r="J283">
        <v>0</v>
      </c>
      <c r="K283">
        <v>0</v>
      </c>
      <c r="L283">
        <v>70</v>
      </c>
      <c r="M283">
        <v>0</v>
      </c>
      <c r="N283">
        <v>0</v>
      </c>
      <c r="O283" t="s">
        <v>21</v>
      </c>
      <c r="P283" t="str" cm="1">
        <f t="array" ref="P2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4" spans="1:16">
      <c r="A284">
        <v>4584</v>
      </c>
      <c r="B284" t="s">
        <v>47</v>
      </c>
      <c r="C284" t="s">
        <v>16</v>
      </c>
      <c r="D284">
        <v>261.33</v>
      </c>
      <c r="E284">
        <v>19</v>
      </c>
      <c r="F284" t="s">
        <v>50</v>
      </c>
      <c r="G284" t="s">
        <v>24</v>
      </c>
      <c r="H284" t="s">
        <v>19</v>
      </c>
      <c r="I284" t="s">
        <v>20</v>
      </c>
      <c r="J284">
        <v>1</v>
      </c>
      <c r="K284">
        <v>0</v>
      </c>
      <c r="L284">
        <v>37</v>
      </c>
      <c r="M284">
        <v>2</v>
      </c>
      <c r="N284">
        <v>0</v>
      </c>
      <c r="O284" t="s">
        <v>21</v>
      </c>
      <c r="P284" t="str" cm="1">
        <f t="array" ref="P2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5" spans="1:16">
      <c r="A285">
        <v>6946</v>
      </c>
      <c r="B285" t="s">
        <v>32</v>
      </c>
      <c r="C285" t="s">
        <v>33</v>
      </c>
      <c r="D285">
        <v>259.37</v>
      </c>
      <c r="E285">
        <v>3</v>
      </c>
      <c r="F285" t="s">
        <v>29</v>
      </c>
      <c r="G285" t="s">
        <v>44</v>
      </c>
      <c r="H285" t="s">
        <v>48</v>
      </c>
      <c r="I285" t="s">
        <v>25</v>
      </c>
      <c r="J285">
        <v>1</v>
      </c>
      <c r="K285">
        <v>0</v>
      </c>
      <c r="L285">
        <v>85</v>
      </c>
      <c r="M285">
        <v>1</v>
      </c>
      <c r="N285">
        <v>0</v>
      </c>
      <c r="O285" t="s">
        <v>21</v>
      </c>
      <c r="P285" t="str" cm="1">
        <f t="array" ref="P2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6" spans="1:16">
      <c r="A286">
        <v>4346</v>
      </c>
      <c r="B286" t="s">
        <v>56</v>
      </c>
      <c r="C286" t="s">
        <v>52</v>
      </c>
      <c r="D286">
        <v>78.400000000000006</v>
      </c>
      <c r="E286">
        <v>3</v>
      </c>
      <c r="F286" t="s">
        <v>34</v>
      </c>
      <c r="G286" t="s">
        <v>24</v>
      </c>
      <c r="H286" t="s">
        <v>35</v>
      </c>
      <c r="I286" t="s">
        <v>20</v>
      </c>
      <c r="J286">
        <v>0</v>
      </c>
      <c r="K286">
        <v>1</v>
      </c>
      <c r="L286">
        <v>28</v>
      </c>
      <c r="M286">
        <v>2</v>
      </c>
      <c r="N286">
        <v>1</v>
      </c>
      <c r="O286" t="s">
        <v>36</v>
      </c>
      <c r="P286" t="str" cm="1">
        <f t="array" ref="P2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7" spans="1:16">
      <c r="A287">
        <v>9779</v>
      </c>
      <c r="B287" t="s">
        <v>56</v>
      </c>
      <c r="C287" t="s">
        <v>52</v>
      </c>
      <c r="D287">
        <v>91.68</v>
      </c>
      <c r="E287">
        <v>19</v>
      </c>
      <c r="F287" t="s">
        <v>34</v>
      </c>
      <c r="G287" t="s">
        <v>18</v>
      </c>
      <c r="H287" t="s">
        <v>48</v>
      </c>
      <c r="I287" t="s">
        <v>20</v>
      </c>
      <c r="J287">
        <v>0</v>
      </c>
      <c r="K287">
        <v>0</v>
      </c>
      <c r="L287">
        <v>79</v>
      </c>
      <c r="M287">
        <v>3</v>
      </c>
      <c r="N287">
        <v>0</v>
      </c>
      <c r="O287" t="s">
        <v>21</v>
      </c>
      <c r="P287" t="str" cm="1">
        <f t="array" ref="P2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8" spans="1:16">
      <c r="A288">
        <v>2624</v>
      </c>
      <c r="B288" t="s">
        <v>40</v>
      </c>
      <c r="C288" t="s">
        <v>33</v>
      </c>
      <c r="D288">
        <v>433.32</v>
      </c>
      <c r="E288">
        <v>21</v>
      </c>
      <c r="F288" t="s">
        <v>19</v>
      </c>
      <c r="G288" t="s">
        <v>24</v>
      </c>
      <c r="H288" t="s">
        <v>41</v>
      </c>
      <c r="I288" t="s">
        <v>26</v>
      </c>
      <c r="J288">
        <v>0</v>
      </c>
      <c r="K288">
        <v>0</v>
      </c>
      <c r="L288">
        <v>38</v>
      </c>
      <c r="M288">
        <v>1</v>
      </c>
      <c r="N288">
        <v>0</v>
      </c>
      <c r="O288" t="s">
        <v>21</v>
      </c>
      <c r="P288" t="str" cm="1">
        <f t="array" ref="P2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89" spans="1:16">
      <c r="A289">
        <v>2473</v>
      </c>
      <c r="B289" t="s">
        <v>63</v>
      </c>
      <c r="C289" t="s">
        <v>28</v>
      </c>
      <c r="D289">
        <v>432.34</v>
      </c>
      <c r="E289">
        <v>7</v>
      </c>
      <c r="F289" t="s">
        <v>29</v>
      </c>
      <c r="G289" t="s">
        <v>38</v>
      </c>
      <c r="H289" t="s">
        <v>30</v>
      </c>
      <c r="I289" t="s">
        <v>26</v>
      </c>
      <c r="J289">
        <v>0</v>
      </c>
      <c r="K289">
        <v>0</v>
      </c>
      <c r="L289">
        <v>70</v>
      </c>
      <c r="M289">
        <v>0</v>
      </c>
      <c r="N289">
        <v>0</v>
      </c>
      <c r="O289" t="s">
        <v>21</v>
      </c>
      <c r="P289" t="str" cm="1">
        <f t="array" ref="P2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0" spans="1:16">
      <c r="A290">
        <v>4503</v>
      </c>
      <c r="B290" t="s">
        <v>27</v>
      </c>
      <c r="C290" t="s">
        <v>28</v>
      </c>
      <c r="D290">
        <v>61.19</v>
      </c>
      <c r="E290">
        <v>22</v>
      </c>
      <c r="F290" t="s">
        <v>19</v>
      </c>
      <c r="G290" t="s">
        <v>18</v>
      </c>
      <c r="H290" t="s">
        <v>48</v>
      </c>
      <c r="I290" t="s">
        <v>31</v>
      </c>
      <c r="J290">
        <v>0</v>
      </c>
      <c r="K290">
        <v>0</v>
      </c>
      <c r="L290">
        <v>97</v>
      </c>
      <c r="M290">
        <v>1</v>
      </c>
      <c r="N290">
        <v>0</v>
      </c>
      <c r="O290" t="s">
        <v>21</v>
      </c>
      <c r="P290" t="str" cm="1">
        <f t="array" ref="P2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1" spans="1:16">
      <c r="A291">
        <v>8503</v>
      </c>
      <c r="B291" t="s">
        <v>22</v>
      </c>
      <c r="C291" t="s">
        <v>23</v>
      </c>
      <c r="D291">
        <v>59.29</v>
      </c>
      <c r="E291">
        <v>17</v>
      </c>
      <c r="F291" t="s">
        <v>34</v>
      </c>
      <c r="G291" t="s">
        <v>38</v>
      </c>
      <c r="H291" t="s">
        <v>30</v>
      </c>
      <c r="I291" t="s">
        <v>26</v>
      </c>
      <c r="J291">
        <v>1</v>
      </c>
      <c r="K291">
        <v>1</v>
      </c>
      <c r="L291">
        <v>29</v>
      </c>
      <c r="M291">
        <v>4</v>
      </c>
      <c r="N291">
        <v>1</v>
      </c>
      <c r="O291" t="s">
        <v>36</v>
      </c>
      <c r="P291" t="str" cm="1">
        <f t="array" ref="P2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2" spans="1:16">
      <c r="A292">
        <v>4332</v>
      </c>
      <c r="B292" t="s">
        <v>49</v>
      </c>
      <c r="C292" t="s">
        <v>16</v>
      </c>
      <c r="D292">
        <v>25.52</v>
      </c>
      <c r="E292">
        <v>8</v>
      </c>
      <c r="F292" t="s">
        <v>29</v>
      </c>
      <c r="G292" t="s">
        <v>18</v>
      </c>
      <c r="H292" t="s">
        <v>25</v>
      </c>
      <c r="I292" t="s">
        <v>20</v>
      </c>
      <c r="J292">
        <v>0</v>
      </c>
      <c r="K292">
        <v>0</v>
      </c>
      <c r="L292">
        <v>49</v>
      </c>
      <c r="M292">
        <v>3</v>
      </c>
      <c r="N292">
        <v>0</v>
      </c>
      <c r="O292" t="s">
        <v>21</v>
      </c>
      <c r="P292" t="str" cm="1">
        <f t="array" ref="P2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3" spans="1:16">
      <c r="A293">
        <v>2606</v>
      </c>
      <c r="B293" t="s">
        <v>45</v>
      </c>
      <c r="C293" t="s">
        <v>28</v>
      </c>
      <c r="D293">
        <v>128.82</v>
      </c>
      <c r="E293">
        <v>20</v>
      </c>
      <c r="F293" t="s">
        <v>19</v>
      </c>
      <c r="G293" t="s">
        <v>53</v>
      </c>
      <c r="H293" t="s">
        <v>30</v>
      </c>
      <c r="I293" t="s">
        <v>20</v>
      </c>
      <c r="J293">
        <v>0</v>
      </c>
      <c r="K293">
        <v>0</v>
      </c>
      <c r="L293">
        <v>58</v>
      </c>
      <c r="M293">
        <v>5</v>
      </c>
      <c r="N293">
        <v>0</v>
      </c>
      <c r="O293" t="s">
        <v>21</v>
      </c>
      <c r="P293" t="str" cm="1">
        <f t="array" ref="P2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4" spans="1:16">
      <c r="A294">
        <v>753</v>
      </c>
      <c r="B294" t="s">
        <v>27</v>
      </c>
      <c r="C294" t="s">
        <v>28</v>
      </c>
      <c r="D294">
        <v>177.85</v>
      </c>
      <c r="E294">
        <v>9</v>
      </c>
      <c r="F294" t="s">
        <v>29</v>
      </c>
      <c r="G294" t="s">
        <v>24</v>
      </c>
      <c r="H294" t="s">
        <v>48</v>
      </c>
      <c r="I294" t="s">
        <v>20</v>
      </c>
      <c r="J294">
        <v>0</v>
      </c>
      <c r="K294">
        <v>0</v>
      </c>
      <c r="L294">
        <v>25</v>
      </c>
      <c r="M294">
        <v>2</v>
      </c>
      <c r="N294">
        <v>0</v>
      </c>
      <c r="O294" t="s">
        <v>21</v>
      </c>
      <c r="P294" t="str" cm="1">
        <f t="array" ref="P2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5" spans="1:16">
      <c r="A295">
        <v>7841</v>
      </c>
      <c r="B295" t="s">
        <v>56</v>
      </c>
      <c r="C295" t="s">
        <v>52</v>
      </c>
      <c r="D295">
        <v>151.21</v>
      </c>
      <c r="E295">
        <v>23</v>
      </c>
      <c r="F295" t="s">
        <v>29</v>
      </c>
      <c r="G295" t="s">
        <v>24</v>
      </c>
      <c r="H295" t="s">
        <v>35</v>
      </c>
      <c r="I295" t="s">
        <v>20</v>
      </c>
      <c r="J295">
        <v>0</v>
      </c>
      <c r="K295">
        <v>0</v>
      </c>
      <c r="L295">
        <v>40</v>
      </c>
      <c r="M295">
        <v>2</v>
      </c>
      <c r="N295">
        <v>0</v>
      </c>
      <c r="O295" t="s">
        <v>21</v>
      </c>
      <c r="P295" t="str" cm="1">
        <f t="array" ref="P2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6" spans="1:16">
      <c r="A296">
        <v>3968</v>
      </c>
      <c r="B296" t="s">
        <v>27</v>
      </c>
      <c r="C296" t="s">
        <v>28</v>
      </c>
      <c r="D296">
        <v>7.4</v>
      </c>
      <c r="E296">
        <v>7</v>
      </c>
      <c r="F296" t="s">
        <v>19</v>
      </c>
      <c r="G296" t="s">
        <v>18</v>
      </c>
      <c r="H296" t="s">
        <v>35</v>
      </c>
      <c r="I296" t="s">
        <v>20</v>
      </c>
      <c r="J296">
        <v>0</v>
      </c>
      <c r="K296">
        <v>0</v>
      </c>
      <c r="L296">
        <v>78</v>
      </c>
      <c r="M296">
        <v>0</v>
      </c>
      <c r="N296">
        <v>0</v>
      </c>
      <c r="O296" t="s">
        <v>21</v>
      </c>
      <c r="P296" t="str" cm="1">
        <f t="array" ref="P2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7" spans="1:16">
      <c r="A297">
        <v>3318</v>
      </c>
      <c r="B297" t="s">
        <v>37</v>
      </c>
      <c r="C297" t="s">
        <v>16</v>
      </c>
      <c r="D297">
        <v>0.96</v>
      </c>
      <c r="E297">
        <v>3</v>
      </c>
      <c r="F297" t="s">
        <v>17</v>
      </c>
      <c r="G297" t="s">
        <v>24</v>
      </c>
      <c r="H297" t="s">
        <v>48</v>
      </c>
      <c r="I297" t="s">
        <v>20</v>
      </c>
      <c r="J297">
        <v>1</v>
      </c>
      <c r="K297">
        <v>0</v>
      </c>
      <c r="L297">
        <v>58</v>
      </c>
      <c r="M297">
        <v>1</v>
      </c>
      <c r="N297">
        <v>0</v>
      </c>
      <c r="O297" t="s">
        <v>21</v>
      </c>
      <c r="P297" t="str" cm="1">
        <f t="array" ref="P2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8" spans="1:16">
      <c r="A298">
        <v>4215</v>
      </c>
      <c r="B298" t="s">
        <v>64</v>
      </c>
      <c r="C298" t="s">
        <v>23</v>
      </c>
      <c r="D298">
        <v>182.79</v>
      </c>
      <c r="E298">
        <v>6</v>
      </c>
      <c r="F298" t="s">
        <v>19</v>
      </c>
      <c r="G298" t="s">
        <v>44</v>
      </c>
      <c r="H298" t="s">
        <v>41</v>
      </c>
      <c r="I298" t="s">
        <v>20</v>
      </c>
      <c r="J298">
        <v>0</v>
      </c>
      <c r="K298">
        <v>0</v>
      </c>
      <c r="L298">
        <v>70</v>
      </c>
      <c r="M298">
        <v>0</v>
      </c>
      <c r="N298">
        <v>0</v>
      </c>
      <c r="O298" t="s">
        <v>21</v>
      </c>
      <c r="P298" t="str" cm="1">
        <f t="array" ref="P2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299" spans="1:16">
      <c r="A299">
        <v>9975</v>
      </c>
      <c r="B299" t="s">
        <v>49</v>
      </c>
      <c r="C299" t="s">
        <v>16</v>
      </c>
      <c r="D299">
        <v>105.42</v>
      </c>
      <c r="E299">
        <v>13</v>
      </c>
      <c r="F299" t="s">
        <v>50</v>
      </c>
      <c r="G299" t="s">
        <v>18</v>
      </c>
      <c r="H299" t="s">
        <v>35</v>
      </c>
      <c r="I299" t="s">
        <v>20</v>
      </c>
      <c r="J299">
        <v>0</v>
      </c>
      <c r="K299">
        <v>0</v>
      </c>
      <c r="L299">
        <v>56</v>
      </c>
      <c r="M299">
        <v>3</v>
      </c>
      <c r="N299">
        <v>0</v>
      </c>
      <c r="O299" t="s">
        <v>21</v>
      </c>
      <c r="P299" t="str" cm="1">
        <f t="array" ref="P2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0" spans="1:16">
      <c r="A300">
        <v>3137</v>
      </c>
      <c r="B300" t="s">
        <v>74</v>
      </c>
      <c r="C300" t="s">
        <v>28</v>
      </c>
      <c r="D300">
        <v>244.48</v>
      </c>
      <c r="E300">
        <v>22</v>
      </c>
      <c r="F300" t="s">
        <v>19</v>
      </c>
      <c r="G300" t="s">
        <v>24</v>
      </c>
      <c r="H300" t="s">
        <v>48</v>
      </c>
      <c r="I300" t="s">
        <v>20</v>
      </c>
      <c r="J300">
        <v>0</v>
      </c>
      <c r="K300">
        <v>0</v>
      </c>
      <c r="L300">
        <v>32</v>
      </c>
      <c r="M300">
        <v>1</v>
      </c>
      <c r="N300">
        <v>0</v>
      </c>
      <c r="O300" t="s">
        <v>21</v>
      </c>
      <c r="P300" t="str" cm="1">
        <f t="array" ref="P3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1" spans="1:16">
      <c r="A301">
        <v>9983</v>
      </c>
      <c r="B301" t="s">
        <v>47</v>
      </c>
      <c r="C301" t="s">
        <v>16</v>
      </c>
      <c r="D301">
        <v>67.31</v>
      </c>
      <c r="E301">
        <v>3</v>
      </c>
      <c r="F301" t="s">
        <v>19</v>
      </c>
      <c r="G301" t="s">
        <v>44</v>
      </c>
      <c r="H301" t="s">
        <v>25</v>
      </c>
      <c r="I301" t="s">
        <v>26</v>
      </c>
      <c r="J301">
        <v>0</v>
      </c>
      <c r="K301">
        <v>0</v>
      </c>
      <c r="L301">
        <v>74</v>
      </c>
      <c r="M301">
        <v>2</v>
      </c>
      <c r="N301">
        <v>0</v>
      </c>
      <c r="O301" t="s">
        <v>21</v>
      </c>
      <c r="P301" t="str" cm="1">
        <f t="array" ref="P3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2" spans="1:16">
      <c r="A302">
        <v>9513</v>
      </c>
      <c r="B302" t="s">
        <v>22</v>
      </c>
      <c r="C302" t="s">
        <v>23</v>
      </c>
      <c r="D302">
        <v>14.2</v>
      </c>
      <c r="E302">
        <v>14</v>
      </c>
      <c r="F302" t="s">
        <v>17</v>
      </c>
      <c r="G302" t="s">
        <v>24</v>
      </c>
      <c r="H302" t="s">
        <v>25</v>
      </c>
      <c r="I302" t="s">
        <v>20</v>
      </c>
      <c r="J302">
        <v>0</v>
      </c>
      <c r="K302">
        <v>0</v>
      </c>
      <c r="L302">
        <v>25</v>
      </c>
      <c r="M302">
        <v>3</v>
      </c>
      <c r="N302">
        <v>0</v>
      </c>
      <c r="O302" t="s">
        <v>21</v>
      </c>
      <c r="P302" t="str" cm="1">
        <f t="array" ref="P3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3" spans="1:16">
      <c r="A303">
        <v>2762</v>
      </c>
      <c r="B303" t="s">
        <v>37</v>
      </c>
      <c r="C303" t="s">
        <v>16</v>
      </c>
      <c r="D303">
        <v>1.42</v>
      </c>
      <c r="E303">
        <v>9</v>
      </c>
      <c r="F303" t="s">
        <v>19</v>
      </c>
      <c r="G303" t="s">
        <v>24</v>
      </c>
      <c r="H303" t="s">
        <v>48</v>
      </c>
      <c r="I303" t="s">
        <v>20</v>
      </c>
      <c r="J303">
        <v>0</v>
      </c>
      <c r="K303">
        <v>0</v>
      </c>
      <c r="L303">
        <v>36</v>
      </c>
      <c r="M303">
        <v>1</v>
      </c>
      <c r="N303">
        <v>0</v>
      </c>
      <c r="O303" t="s">
        <v>21</v>
      </c>
      <c r="P303" t="str" cm="1">
        <f t="array" ref="P3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4" spans="1:16">
      <c r="A304">
        <v>9887</v>
      </c>
      <c r="B304" t="s">
        <v>67</v>
      </c>
      <c r="C304" t="s">
        <v>28</v>
      </c>
      <c r="D304">
        <v>399.42</v>
      </c>
      <c r="E304">
        <v>13</v>
      </c>
      <c r="F304" t="s">
        <v>17</v>
      </c>
      <c r="G304" t="s">
        <v>24</v>
      </c>
      <c r="H304" t="s">
        <v>35</v>
      </c>
      <c r="I304" t="s">
        <v>31</v>
      </c>
      <c r="J304">
        <v>0</v>
      </c>
      <c r="K304">
        <v>0</v>
      </c>
      <c r="L304">
        <v>70</v>
      </c>
      <c r="M304">
        <v>2</v>
      </c>
      <c r="N304">
        <v>0</v>
      </c>
      <c r="O304" t="s">
        <v>21</v>
      </c>
      <c r="P304" t="str" cm="1">
        <f t="array" ref="P3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5" spans="1:16">
      <c r="A305">
        <v>1556</v>
      </c>
      <c r="B305" t="s">
        <v>27</v>
      </c>
      <c r="C305" t="s">
        <v>28</v>
      </c>
      <c r="D305">
        <v>42.9</v>
      </c>
      <c r="E305">
        <v>0</v>
      </c>
      <c r="F305" t="s">
        <v>34</v>
      </c>
      <c r="G305" t="s">
        <v>24</v>
      </c>
      <c r="H305" t="s">
        <v>41</v>
      </c>
      <c r="I305" t="s">
        <v>26</v>
      </c>
      <c r="J305">
        <v>1</v>
      </c>
      <c r="K305">
        <v>0</v>
      </c>
      <c r="L305">
        <v>32</v>
      </c>
      <c r="M305">
        <v>1</v>
      </c>
      <c r="N305">
        <v>1</v>
      </c>
      <c r="O305" t="s">
        <v>36</v>
      </c>
      <c r="P305" t="str" cm="1">
        <f t="array" ref="P3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6" spans="1:16">
      <c r="A306">
        <v>7633</v>
      </c>
      <c r="B306" t="s">
        <v>63</v>
      </c>
      <c r="C306" t="s">
        <v>28</v>
      </c>
      <c r="D306">
        <v>70.900000000000006</v>
      </c>
      <c r="E306">
        <v>1</v>
      </c>
      <c r="F306" t="s">
        <v>17</v>
      </c>
      <c r="G306" t="s">
        <v>44</v>
      </c>
      <c r="H306" t="s">
        <v>25</v>
      </c>
      <c r="I306" t="s">
        <v>20</v>
      </c>
      <c r="J306">
        <v>0</v>
      </c>
      <c r="K306">
        <v>0</v>
      </c>
      <c r="L306">
        <v>89</v>
      </c>
      <c r="M306">
        <v>0</v>
      </c>
      <c r="N306">
        <v>0</v>
      </c>
      <c r="O306" t="s">
        <v>21</v>
      </c>
      <c r="P306" t="str" cm="1">
        <f t="array" ref="P3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7" spans="1:16">
      <c r="A307">
        <v>1827</v>
      </c>
      <c r="B307" t="s">
        <v>45</v>
      </c>
      <c r="C307" t="s">
        <v>28</v>
      </c>
      <c r="D307">
        <v>7.71</v>
      </c>
      <c r="E307">
        <v>17</v>
      </c>
      <c r="F307" t="s">
        <v>19</v>
      </c>
      <c r="G307" t="s">
        <v>44</v>
      </c>
      <c r="H307" t="s">
        <v>30</v>
      </c>
      <c r="I307" t="s">
        <v>31</v>
      </c>
      <c r="J307">
        <v>0</v>
      </c>
      <c r="K307">
        <v>0</v>
      </c>
      <c r="L307">
        <v>90</v>
      </c>
      <c r="M307">
        <v>0</v>
      </c>
      <c r="N307">
        <v>0</v>
      </c>
      <c r="O307" t="s">
        <v>21</v>
      </c>
      <c r="P307" t="str" cm="1">
        <f t="array" ref="P3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8" spans="1:16">
      <c r="A308">
        <v>9909</v>
      </c>
      <c r="B308" t="s">
        <v>45</v>
      </c>
      <c r="C308" t="s">
        <v>28</v>
      </c>
      <c r="D308">
        <v>33.22</v>
      </c>
      <c r="E308">
        <v>6</v>
      </c>
      <c r="F308" t="s">
        <v>17</v>
      </c>
      <c r="G308" t="s">
        <v>24</v>
      </c>
      <c r="H308" t="s">
        <v>35</v>
      </c>
      <c r="I308" t="s">
        <v>25</v>
      </c>
      <c r="J308">
        <v>0</v>
      </c>
      <c r="K308">
        <v>0</v>
      </c>
      <c r="L308">
        <v>26</v>
      </c>
      <c r="M308">
        <v>3</v>
      </c>
      <c r="N308">
        <v>0</v>
      </c>
      <c r="O308" t="s">
        <v>21</v>
      </c>
      <c r="P308" t="str" cm="1">
        <f t="array" ref="P3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09" spans="1:16">
      <c r="A309">
        <v>3246</v>
      </c>
      <c r="B309" t="s">
        <v>59</v>
      </c>
      <c r="C309" t="s">
        <v>16</v>
      </c>
      <c r="D309">
        <v>33.909999999999997</v>
      </c>
      <c r="E309">
        <v>7</v>
      </c>
      <c r="F309" t="s">
        <v>17</v>
      </c>
      <c r="G309" t="s">
        <v>24</v>
      </c>
      <c r="H309" t="s">
        <v>25</v>
      </c>
      <c r="I309" t="s">
        <v>31</v>
      </c>
      <c r="J309">
        <v>0</v>
      </c>
      <c r="K309">
        <v>0</v>
      </c>
      <c r="L309">
        <v>56</v>
      </c>
      <c r="M309">
        <v>1</v>
      </c>
      <c r="N309">
        <v>0</v>
      </c>
      <c r="O309" t="s">
        <v>21</v>
      </c>
      <c r="P309" t="str" cm="1">
        <f t="array" ref="P3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0" spans="1:16">
      <c r="A310">
        <v>8455</v>
      </c>
      <c r="B310" t="s">
        <v>32</v>
      </c>
      <c r="C310" t="s">
        <v>33</v>
      </c>
      <c r="D310">
        <v>522.03</v>
      </c>
      <c r="E310">
        <v>0</v>
      </c>
      <c r="F310" t="s">
        <v>19</v>
      </c>
      <c r="G310" t="s">
        <v>38</v>
      </c>
      <c r="H310" t="s">
        <v>48</v>
      </c>
      <c r="I310" t="s">
        <v>20</v>
      </c>
      <c r="J310">
        <v>0</v>
      </c>
      <c r="K310">
        <v>0</v>
      </c>
      <c r="L310">
        <v>41</v>
      </c>
      <c r="M310">
        <v>2</v>
      </c>
      <c r="N310">
        <v>0</v>
      </c>
      <c r="O310" t="s">
        <v>21</v>
      </c>
      <c r="P310" t="str" cm="1">
        <f t="array" ref="P310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311" spans="1:16">
      <c r="A311">
        <v>6777</v>
      </c>
      <c r="B311" t="s">
        <v>40</v>
      </c>
      <c r="C311" t="s">
        <v>33</v>
      </c>
      <c r="D311">
        <v>240.27</v>
      </c>
      <c r="E311">
        <v>1</v>
      </c>
      <c r="F311" t="s">
        <v>17</v>
      </c>
      <c r="G311" t="s">
        <v>24</v>
      </c>
      <c r="H311" t="s">
        <v>35</v>
      </c>
      <c r="I311" t="s">
        <v>20</v>
      </c>
      <c r="J311">
        <v>0</v>
      </c>
      <c r="K311">
        <v>0</v>
      </c>
      <c r="L311">
        <v>79</v>
      </c>
      <c r="M311">
        <v>1</v>
      </c>
      <c r="N311">
        <v>0</v>
      </c>
      <c r="O311" t="s">
        <v>21</v>
      </c>
      <c r="P311" t="str" cm="1">
        <f t="array" ref="P3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2" spans="1:16">
      <c r="A312">
        <v>3398</v>
      </c>
      <c r="B312" t="s">
        <v>40</v>
      </c>
      <c r="C312" t="s">
        <v>33</v>
      </c>
      <c r="D312">
        <v>335.43</v>
      </c>
      <c r="E312">
        <v>20</v>
      </c>
      <c r="F312" t="s">
        <v>50</v>
      </c>
      <c r="G312" t="s">
        <v>18</v>
      </c>
      <c r="H312" t="s">
        <v>48</v>
      </c>
      <c r="I312" t="s">
        <v>20</v>
      </c>
      <c r="J312">
        <v>1</v>
      </c>
      <c r="K312">
        <v>1</v>
      </c>
      <c r="L312">
        <v>29</v>
      </c>
      <c r="M312">
        <v>2</v>
      </c>
      <c r="N312">
        <v>1</v>
      </c>
      <c r="O312" t="s">
        <v>36</v>
      </c>
      <c r="P312" t="str" cm="1">
        <f t="array" ref="P3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3" spans="1:16">
      <c r="A313">
        <v>8996</v>
      </c>
      <c r="B313" t="s">
        <v>63</v>
      </c>
      <c r="C313" t="s">
        <v>28</v>
      </c>
      <c r="D313">
        <v>130.22</v>
      </c>
      <c r="E313">
        <v>3</v>
      </c>
      <c r="F313" t="s">
        <v>34</v>
      </c>
      <c r="G313" t="s">
        <v>24</v>
      </c>
      <c r="H313" t="s">
        <v>25</v>
      </c>
      <c r="I313" t="s">
        <v>26</v>
      </c>
      <c r="J313">
        <v>0</v>
      </c>
      <c r="K313">
        <v>0</v>
      </c>
      <c r="L313">
        <v>59</v>
      </c>
      <c r="M313">
        <v>4</v>
      </c>
      <c r="N313">
        <v>0</v>
      </c>
      <c r="O313" t="s">
        <v>21</v>
      </c>
      <c r="P313" t="str" cm="1">
        <f t="array" ref="P3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4" spans="1:16">
      <c r="A314">
        <v>86</v>
      </c>
      <c r="B314" t="s">
        <v>40</v>
      </c>
      <c r="C314" t="s">
        <v>33</v>
      </c>
      <c r="D314">
        <v>70.8</v>
      </c>
      <c r="E314">
        <v>16</v>
      </c>
      <c r="F314" t="s">
        <v>17</v>
      </c>
      <c r="G314" t="s">
        <v>24</v>
      </c>
      <c r="H314" t="s">
        <v>35</v>
      </c>
      <c r="I314" t="s">
        <v>25</v>
      </c>
      <c r="J314">
        <v>0</v>
      </c>
      <c r="K314">
        <v>0</v>
      </c>
      <c r="L314">
        <v>28</v>
      </c>
      <c r="M314">
        <v>2</v>
      </c>
      <c r="N314">
        <v>0</v>
      </c>
      <c r="O314" t="s">
        <v>21</v>
      </c>
      <c r="P314" t="str" cm="1">
        <f t="array" ref="P3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5" spans="1:16">
      <c r="A315">
        <v>998</v>
      </c>
      <c r="B315" t="s">
        <v>47</v>
      </c>
      <c r="C315" t="s">
        <v>16</v>
      </c>
      <c r="D315">
        <v>26.48</v>
      </c>
      <c r="E315">
        <v>19</v>
      </c>
      <c r="F315" t="s">
        <v>19</v>
      </c>
      <c r="G315" t="s">
        <v>18</v>
      </c>
      <c r="H315" t="s">
        <v>48</v>
      </c>
      <c r="I315" t="s">
        <v>31</v>
      </c>
      <c r="J315">
        <v>0</v>
      </c>
      <c r="K315">
        <v>0</v>
      </c>
      <c r="L315">
        <v>64</v>
      </c>
      <c r="M315">
        <v>2</v>
      </c>
      <c r="N315">
        <v>0</v>
      </c>
      <c r="O315" t="s">
        <v>21</v>
      </c>
      <c r="P315" t="str" cm="1">
        <f t="array" ref="P3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6" spans="1:16">
      <c r="A316">
        <v>1010</v>
      </c>
      <c r="B316" t="s">
        <v>39</v>
      </c>
      <c r="C316" t="s">
        <v>28</v>
      </c>
      <c r="D316">
        <v>121</v>
      </c>
      <c r="E316">
        <v>12</v>
      </c>
      <c r="F316" t="s">
        <v>17</v>
      </c>
      <c r="G316" t="s">
        <v>18</v>
      </c>
      <c r="H316" t="s">
        <v>25</v>
      </c>
      <c r="I316" t="s">
        <v>31</v>
      </c>
      <c r="J316">
        <v>0</v>
      </c>
      <c r="K316">
        <v>0</v>
      </c>
      <c r="L316">
        <v>90</v>
      </c>
      <c r="M316">
        <v>2</v>
      </c>
      <c r="N316">
        <v>0</v>
      </c>
      <c r="O316" t="s">
        <v>21</v>
      </c>
      <c r="P316" t="str" cm="1">
        <f t="array" ref="P3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7" spans="1:16">
      <c r="A317">
        <v>4685</v>
      </c>
      <c r="B317" t="s">
        <v>37</v>
      </c>
      <c r="C317" t="s">
        <v>16</v>
      </c>
      <c r="D317">
        <v>268.89999999999998</v>
      </c>
      <c r="E317">
        <v>12</v>
      </c>
      <c r="F317" t="s">
        <v>34</v>
      </c>
      <c r="G317" t="s">
        <v>24</v>
      </c>
      <c r="H317" t="s">
        <v>25</v>
      </c>
      <c r="I317" t="s">
        <v>20</v>
      </c>
      <c r="J317">
        <v>0</v>
      </c>
      <c r="K317">
        <v>1</v>
      </c>
      <c r="L317">
        <v>45</v>
      </c>
      <c r="M317">
        <v>1</v>
      </c>
      <c r="N317">
        <v>0</v>
      </c>
      <c r="O317" t="s">
        <v>21</v>
      </c>
      <c r="P317" t="str" cm="1">
        <f t="array" ref="P3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8" spans="1:16">
      <c r="A318">
        <v>564</v>
      </c>
      <c r="B318" t="s">
        <v>32</v>
      </c>
      <c r="C318" t="s">
        <v>33</v>
      </c>
      <c r="D318">
        <v>2.64</v>
      </c>
      <c r="E318">
        <v>13</v>
      </c>
      <c r="F318" t="s">
        <v>34</v>
      </c>
      <c r="G318" t="s">
        <v>18</v>
      </c>
      <c r="H318" t="s">
        <v>35</v>
      </c>
      <c r="I318" t="s">
        <v>26</v>
      </c>
      <c r="J318">
        <v>0</v>
      </c>
      <c r="K318">
        <v>0</v>
      </c>
      <c r="L318">
        <v>87</v>
      </c>
      <c r="M318">
        <v>2</v>
      </c>
      <c r="N318">
        <v>0</v>
      </c>
      <c r="O318" t="s">
        <v>21</v>
      </c>
      <c r="P318" t="str" cm="1">
        <f t="array" ref="P3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19" spans="1:16">
      <c r="A319">
        <v>3352</v>
      </c>
      <c r="B319" t="s">
        <v>22</v>
      </c>
      <c r="C319" t="s">
        <v>23</v>
      </c>
      <c r="D319">
        <v>99.56</v>
      </c>
      <c r="E319">
        <v>14</v>
      </c>
      <c r="F319" t="s">
        <v>50</v>
      </c>
      <c r="G319" t="s">
        <v>53</v>
      </c>
      <c r="H319" t="s">
        <v>41</v>
      </c>
      <c r="I319" t="s">
        <v>20</v>
      </c>
      <c r="J319">
        <v>0</v>
      </c>
      <c r="K319">
        <v>0</v>
      </c>
      <c r="L319">
        <v>49</v>
      </c>
      <c r="M319">
        <v>2</v>
      </c>
      <c r="N319">
        <v>0</v>
      </c>
      <c r="O319" t="s">
        <v>21</v>
      </c>
      <c r="P319" t="str" cm="1">
        <f t="array" ref="P3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0" spans="1:16">
      <c r="A320">
        <v>3433</v>
      </c>
      <c r="B320" t="s">
        <v>39</v>
      </c>
      <c r="C320" t="s">
        <v>28</v>
      </c>
      <c r="D320">
        <v>254.45</v>
      </c>
      <c r="E320">
        <v>5</v>
      </c>
      <c r="F320" t="s">
        <v>19</v>
      </c>
      <c r="G320" t="s">
        <v>24</v>
      </c>
      <c r="H320" t="s">
        <v>35</v>
      </c>
      <c r="I320" t="s">
        <v>31</v>
      </c>
      <c r="J320">
        <v>0</v>
      </c>
      <c r="K320">
        <v>0</v>
      </c>
      <c r="L320">
        <v>93</v>
      </c>
      <c r="M320">
        <v>2</v>
      </c>
      <c r="N320">
        <v>0</v>
      </c>
      <c r="O320" t="s">
        <v>21</v>
      </c>
      <c r="P320" t="str" cm="1">
        <f t="array" ref="P3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1" spans="1:16">
      <c r="A321">
        <v>4848</v>
      </c>
      <c r="B321" t="s">
        <v>55</v>
      </c>
      <c r="C321" t="s">
        <v>28</v>
      </c>
      <c r="D321">
        <v>27.4</v>
      </c>
      <c r="E321">
        <v>9</v>
      </c>
      <c r="F321" t="s">
        <v>50</v>
      </c>
      <c r="G321" t="s">
        <v>38</v>
      </c>
      <c r="H321" t="s">
        <v>19</v>
      </c>
      <c r="I321" t="s">
        <v>20</v>
      </c>
      <c r="J321">
        <v>0</v>
      </c>
      <c r="K321">
        <v>0</v>
      </c>
      <c r="L321">
        <v>67</v>
      </c>
      <c r="M321">
        <v>5</v>
      </c>
      <c r="N321">
        <v>0</v>
      </c>
      <c r="O321" t="s">
        <v>21</v>
      </c>
      <c r="P321" t="str" cm="1">
        <f t="array" ref="P3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2" spans="1:16">
      <c r="A322">
        <v>1144</v>
      </c>
      <c r="B322" t="s">
        <v>61</v>
      </c>
      <c r="C322" t="s">
        <v>28</v>
      </c>
      <c r="D322">
        <v>150.13999999999999</v>
      </c>
      <c r="E322">
        <v>19</v>
      </c>
      <c r="F322" t="s">
        <v>17</v>
      </c>
      <c r="G322" t="s">
        <v>24</v>
      </c>
      <c r="H322" t="s">
        <v>35</v>
      </c>
      <c r="I322" t="s">
        <v>20</v>
      </c>
      <c r="J322">
        <v>0</v>
      </c>
      <c r="K322">
        <v>0</v>
      </c>
      <c r="L322">
        <v>26</v>
      </c>
      <c r="M322">
        <v>1</v>
      </c>
      <c r="N322">
        <v>0</v>
      </c>
      <c r="O322" t="s">
        <v>21</v>
      </c>
      <c r="P322" t="str" cm="1">
        <f t="array" ref="P3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3" spans="1:16">
      <c r="A323">
        <v>860</v>
      </c>
      <c r="B323" t="s">
        <v>39</v>
      </c>
      <c r="C323" t="s">
        <v>28</v>
      </c>
      <c r="D323">
        <v>12.23</v>
      </c>
      <c r="E323">
        <v>2</v>
      </c>
      <c r="F323" t="s">
        <v>50</v>
      </c>
      <c r="G323" t="s">
        <v>24</v>
      </c>
      <c r="H323" t="s">
        <v>35</v>
      </c>
      <c r="I323" t="s">
        <v>20</v>
      </c>
      <c r="J323">
        <v>1</v>
      </c>
      <c r="K323">
        <v>0</v>
      </c>
      <c r="L323">
        <v>28</v>
      </c>
      <c r="M323">
        <v>3</v>
      </c>
      <c r="N323">
        <v>1</v>
      </c>
      <c r="O323" t="s">
        <v>36</v>
      </c>
      <c r="P323" t="str" cm="1">
        <f t="array" ref="P3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4" spans="1:16">
      <c r="A324">
        <v>9401</v>
      </c>
      <c r="B324" t="s">
        <v>64</v>
      </c>
      <c r="C324" t="s">
        <v>23</v>
      </c>
      <c r="D324">
        <v>209.04</v>
      </c>
      <c r="E324">
        <v>14</v>
      </c>
      <c r="F324" t="s">
        <v>17</v>
      </c>
      <c r="G324" t="s">
        <v>24</v>
      </c>
      <c r="H324" t="s">
        <v>35</v>
      </c>
      <c r="I324" t="s">
        <v>20</v>
      </c>
      <c r="J324">
        <v>0</v>
      </c>
      <c r="K324">
        <v>0</v>
      </c>
      <c r="L324">
        <v>44</v>
      </c>
      <c r="M324">
        <v>2</v>
      </c>
      <c r="N324">
        <v>0</v>
      </c>
      <c r="O324" t="s">
        <v>21</v>
      </c>
      <c r="P324" t="str" cm="1">
        <f t="array" ref="P3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5" spans="1:16">
      <c r="A325">
        <v>8343</v>
      </c>
      <c r="B325" t="s">
        <v>15</v>
      </c>
      <c r="C325" t="s">
        <v>16</v>
      </c>
      <c r="D325">
        <v>35.68</v>
      </c>
      <c r="E325">
        <v>16</v>
      </c>
      <c r="F325" t="s">
        <v>29</v>
      </c>
      <c r="G325" t="s">
        <v>44</v>
      </c>
      <c r="H325" t="s">
        <v>19</v>
      </c>
      <c r="I325" t="s">
        <v>20</v>
      </c>
      <c r="J325">
        <v>0</v>
      </c>
      <c r="K325">
        <v>0</v>
      </c>
      <c r="L325">
        <v>32</v>
      </c>
      <c r="M325">
        <v>2</v>
      </c>
      <c r="N325">
        <v>0</v>
      </c>
      <c r="O325" t="s">
        <v>21</v>
      </c>
      <c r="P325" t="str" cm="1">
        <f t="array" ref="P3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6" spans="1:16">
      <c r="A326">
        <v>4286</v>
      </c>
      <c r="B326" t="s">
        <v>15</v>
      </c>
      <c r="C326" t="s">
        <v>16</v>
      </c>
      <c r="D326">
        <v>162.80000000000001</v>
      </c>
      <c r="E326">
        <v>9</v>
      </c>
      <c r="F326" t="s">
        <v>17</v>
      </c>
      <c r="G326" t="s">
        <v>24</v>
      </c>
      <c r="H326" t="s">
        <v>35</v>
      </c>
      <c r="I326" t="s">
        <v>20</v>
      </c>
      <c r="J326">
        <v>0</v>
      </c>
      <c r="K326">
        <v>0</v>
      </c>
      <c r="L326">
        <v>50</v>
      </c>
      <c r="M326">
        <v>3</v>
      </c>
      <c r="N326">
        <v>0</v>
      </c>
      <c r="O326" t="s">
        <v>21</v>
      </c>
      <c r="P326" t="str" cm="1">
        <f t="array" ref="P3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7" spans="1:16">
      <c r="A327">
        <v>1959</v>
      </c>
      <c r="B327" t="s">
        <v>60</v>
      </c>
      <c r="C327" t="s">
        <v>23</v>
      </c>
      <c r="D327">
        <v>182</v>
      </c>
      <c r="E327">
        <v>10</v>
      </c>
      <c r="F327" t="s">
        <v>19</v>
      </c>
      <c r="G327" t="s">
        <v>18</v>
      </c>
      <c r="H327" t="s">
        <v>48</v>
      </c>
      <c r="I327" t="s">
        <v>20</v>
      </c>
      <c r="J327">
        <v>0</v>
      </c>
      <c r="K327">
        <v>0</v>
      </c>
      <c r="L327">
        <v>58</v>
      </c>
      <c r="M327">
        <v>6</v>
      </c>
      <c r="N327">
        <v>0</v>
      </c>
      <c r="O327" t="s">
        <v>21</v>
      </c>
      <c r="P327" t="str" cm="1">
        <f t="array" ref="P32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8" spans="1:16">
      <c r="A328">
        <v>2881</v>
      </c>
      <c r="B328" t="s">
        <v>65</v>
      </c>
      <c r="C328" t="s">
        <v>16</v>
      </c>
      <c r="D328">
        <v>72.510000000000005</v>
      </c>
      <c r="E328">
        <v>17</v>
      </c>
      <c r="F328" t="s">
        <v>34</v>
      </c>
      <c r="G328" t="s">
        <v>44</v>
      </c>
      <c r="H328" t="s">
        <v>48</v>
      </c>
      <c r="I328" t="s">
        <v>20</v>
      </c>
      <c r="J328">
        <v>0</v>
      </c>
      <c r="K328">
        <v>0</v>
      </c>
      <c r="L328">
        <v>52</v>
      </c>
      <c r="M328">
        <v>2</v>
      </c>
      <c r="N328">
        <v>0</v>
      </c>
      <c r="O328" t="s">
        <v>21</v>
      </c>
      <c r="P328" t="str" cm="1">
        <f t="array" ref="P3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29" spans="1:16">
      <c r="A329">
        <v>5136</v>
      </c>
      <c r="B329" t="s">
        <v>15</v>
      </c>
      <c r="C329" t="s">
        <v>16</v>
      </c>
      <c r="D329">
        <v>85.17</v>
      </c>
      <c r="E329">
        <v>14</v>
      </c>
      <c r="F329" t="s">
        <v>50</v>
      </c>
      <c r="G329" t="s">
        <v>44</v>
      </c>
      <c r="H329" t="s">
        <v>35</v>
      </c>
      <c r="I329" t="s">
        <v>31</v>
      </c>
      <c r="J329">
        <v>0</v>
      </c>
      <c r="K329">
        <v>0</v>
      </c>
      <c r="L329">
        <v>98</v>
      </c>
      <c r="M329">
        <v>3</v>
      </c>
      <c r="N329">
        <v>0</v>
      </c>
      <c r="O329" t="s">
        <v>21</v>
      </c>
      <c r="P329" t="str" cm="1">
        <f t="array" ref="P3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0" spans="1:16">
      <c r="A330">
        <v>4651</v>
      </c>
      <c r="B330" t="s">
        <v>32</v>
      </c>
      <c r="C330" t="s">
        <v>33</v>
      </c>
      <c r="D330">
        <v>9.92</v>
      </c>
      <c r="E330">
        <v>21</v>
      </c>
      <c r="F330" t="s">
        <v>17</v>
      </c>
      <c r="G330" t="s">
        <v>38</v>
      </c>
      <c r="H330" t="s">
        <v>35</v>
      </c>
      <c r="I330" t="s">
        <v>26</v>
      </c>
      <c r="J330">
        <v>0</v>
      </c>
      <c r="K330">
        <v>0</v>
      </c>
      <c r="L330">
        <v>55</v>
      </c>
      <c r="M330">
        <v>2</v>
      </c>
      <c r="N330">
        <v>0</v>
      </c>
      <c r="O330" t="s">
        <v>21</v>
      </c>
      <c r="P330" t="str" cm="1">
        <f t="array" ref="P3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1" spans="1:16">
      <c r="A331">
        <v>119</v>
      </c>
      <c r="B331" t="s">
        <v>74</v>
      </c>
      <c r="C331" t="s">
        <v>28</v>
      </c>
      <c r="D331">
        <v>401.55</v>
      </c>
      <c r="E331">
        <v>2</v>
      </c>
      <c r="F331" t="s">
        <v>19</v>
      </c>
      <c r="G331" t="s">
        <v>38</v>
      </c>
      <c r="H331" t="s">
        <v>48</v>
      </c>
      <c r="I331" t="s">
        <v>31</v>
      </c>
      <c r="J331">
        <v>0</v>
      </c>
      <c r="K331">
        <v>0</v>
      </c>
      <c r="L331">
        <v>46</v>
      </c>
      <c r="M331">
        <v>1</v>
      </c>
      <c r="N331">
        <v>0</v>
      </c>
      <c r="O331" t="s">
        <v>21</v>
      </c>
      <c r="P331" t="str" cm="1">
        <f t="array" ref="P3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2" spans="1:16">
      <c r="A332">
        <v>4433</v>
      </c>
      <c r="B332" t="s">
        <v>60</v>
      </c>
      <c r="C332" t="s">
        <v>23</v>
      </c>
      <c r="D332">
        <v>116.02</v>
      </c>
      <c r="E332">
        <v>5</v>
      </c>
      <c r="F332" t="s">
        <v>50</v>
      </c>
      <c r="G332" t="s">
        <v>18</v>
      </c>
      <c r="H332" t="s">
        <v>35</v>
      </c>
      <c r="I332" t="s">
        <v>20</v>
      </c>
      <c r="J332">
        <v>0</v>
      </c>
      <c r="K332">
        <v>0</v>
      </c>
      <c r="L332">
        <v>68</v>
      </c>
      <c r="M332">
        <v>4</v>
      </c>
      <c r="N332">
        <v>0</v>
      </c>
      <c r="O332" t="s">
        <v>21</v>
      </c>
      <c r="P332" t="str" cm="1">
        <f t="array" ref="P3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3" spans="1:16">
      <c r="A333">
        <v>3426</v>
      </c>
      <c r="B333" t="s">
        <v>63</v>
      </c>
      <c r="C333" t="s">
        <v>28</v>
      </c>
      <c r="D333">
        <v>173.94</v>
      </c>
      <c r="E333">
        <v>7</v>
      </c>
      <c r="F333" t="s">
        <v>29</v>
      </c>
      <c r="G333" t="s">
        <v>18</v>
      </c>
      <c r="H333" t="s">
        <v>48</v>
      </c>
      <c r="I333" t="s">
        <v>20</v>
      </c>
      <c r="J333">
        <v>0</v>
      </c>
      <c r="K333">
        <v>1</v>
      </c>
      <c r="L333">
        <v>91</v>
      </c>
      <c r="M333">
        <v>2</v>
      </c>
      <c r="N333">
        <v>0</v>
      </c>
      <c r="O333" t="s">
        <v>21</v>
      </c>
      <c r="P333" t="str" cm="1">
        <f t="array" ref="P3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4" spans="1:16">
      <c r="A334">
        <v>4984</v>
      </c>
      <c r="B334" t="s">
        <v>37</v>
      </c>
      <c r="C334" t="s">
        <v>16</v>
      </c>
      <c r="D334">
        <v>328.85</v>
      </c>
      <c r="E334">
        <v>9</v>
      </c>
      <c r="F334" t="s">
        <v>19</v>
      </c>
      <c r="G334" t="s">
        <v>24</v>
      </c>
      <c r="H334" t="s">
        <v>25</v>
      </c>
      <c r="I334" t="s">
        <v>25</v>
      </c>
      <c r="J334">
        <v>0</v>
      </c>
      <c r="K334">
        <v>0</v>
      </c>
      <c r="L334">
        <v>82</v>
      </c>
      <c r="M334">
        <v>1</v>
      </c>
      <c r="N334">
        <v>0</v>
      </c>
      <c r="O334" t="s">
        <v>21</v>
      </c>
      <c r="P334" t="str" cm="1">
        <f t="array" ref="P3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5" spans="1:16">
      <c r="A335">
        <v>4397</v>
      </c>
      <c r="B335" t="s">
        <v>15</v>
      </c>
      <c r="C335" t="s">
        <v>16</v>
      </c>
      <c r="D335">
        <v>63.33</v>
      </c>
      <c r="E335">
        <v>9</v>
      </c>
      <c r="F335" t="s">
        <v>29</v>
      </c>
      <c r="G335" t="s">
        <v>38</v>
      </c>
      <c r="H335" t="s">
        <v>48</v>
      </c>
      <c r="I335" t="s">
        <v>31</v>
      </c>
      <c r="J335">
        <v>0</v>
      </c>
      <c r="K335">
        <v>1</v>
      </c>
      <c r="L335">
        <v>64</v>
      </c>
      <c r="M335">
        <v>1</v>
      </c>
      <c r="N335">
        <v>0</v>
      </c>
      <c r="O335" t="s">
        <v>21</v>
      </c>
      <c r="P335" t="str" cm="1">
        <f t="array" ref="P3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6" spans="1:16">
      <c r="A336">
        <v>9800</v>
      </c>
      <c r="B336" t="s">
        <v>71</v>
      </c>
      <c r="C336" t="s">
        <v>33</v>
      </c>
      <c r="D336">
        <v>479.57</v>
      </c>
      <c r="E336">
        <v>6</v>
      </c>
      <c r="F336" t="s">
        <v>17</v>
      </c>
      <c r="G336" t="s">
        <v>24</v>
      </c>
      <c r="H336" t="s">
        <v>35</v>
      </c>
      <c r="I336" t="s">
        <v>31</v>
      </c>
      <c r="J336">
        <v>0</v>
      </c>
      <c r="K336">
        <v>0</v>
      </c>
      <c r="L336">
        <v>57</v>
      </c>
      <c r="M336">
        <v>3</v>
      </c>
      <c r="N336">
        <v>0</v>
      </c>
      <c r="O336" t="s">
        <v>21</v>
      </c>
      <c r="P336" t="str" cm="1">
        <f t="array" ref="P3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7" spans="1:16">
      <c r="A337">
        <v>1113</v>
      </c>
      <c r="B337" t="s">
        <v>71</v>
      </c>
      <c r="C337" t="s">
        <v>33</v>
      </c>
      <c r="D337">
        <v>45.61</v>
      </c>
      <c r="E337">
        <v>4</v>
      </c>
      <c r="F337" t="s">
        <v>17</v>
      </c>
      <c r="G337" t="s">
        <v>38</v>
      </c>
      <c r="H337" t="s">
        <v>41</v>
      </c>
      <c r="I337" t="s">
        <v>25</v>
      </c>
      <c r="J337">
        <v>0</v>
      </c>
      <c r="K337">
        <v>0</v>
      </c>
      <c r="L337">
        <v>30</v>
      </c>
      <c r="M337">
        <v>3</v>
      </c>
      <c r="N337">
        <v>0</v>
      </c>
      <c r="O337" t="s">
        <v>21</v>
      </c>
      <c r="P337" t="str" cm="1">
        <f t="array" ref="P3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8" spans="1:16">
      <c r="A338">
        <v>771</v>
      </c>
      <c r="B338" t="s">
        <v>47</v>
      </c>
      <c r="C338" t="s">
        <v>16</v>
      </c>
      <c r="D338">
        <v>21.1</v>
      </c>
      <c r="E338">
        <v>3</v>
      </c>
      <c r="F338" t="s">
        <v>19</v>
      </c>
      <c r="G338" t="s">
        <v>44</v>
      </c>
      <c r="H338" t="s">
        <v>19</v>
      </c>
      <c r="I338" t="s">
        <v>20</v>
      </c>
      <c r="J338">
        <v>0</v>
      </c>
      <c r="K338">
        <v>1</v>
      </c>
      <c r="L338">
        <v>28</v>
      </c>
      <c r="M338">
        <v>2</v>
      </c>
      <c r="N338">
        <v>1</v>
      </c>
      <c r="O338" t="s">
        <v>36</v>
      </c>
      <c r="P338" t="str" cm="1">
        <f t="array" ref="P3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39" spans="1:16">
      <c r="A339">
        <v>2324</v>
      </c>
      <c r="B339" t="s">
        <v>27</v>
      </c>
      <c r="C339" t="s">
        <v>28</v>
      </c>
      <c r="D339">
        <v>66.63</v>
      </c>
      <c r="E339">
        <v>3</v>
      </c>
      <c r="F339" t="s">
        <v>19</v>
      </c>
      <c r="G339" t="s">
        <v>38</v>
      </c>
      <c r="H339" t="s">
        <v>30</v>
      </c>
      <c r="I339" t="s">
        <v>20</v>
      </c>
      <c r="J339">
        <v>0</v>
      </c>
      <c r="K339">
        <v>0</v>
      </c>
      <c r="L339">
        <v>28</v>
      </c>
      <c r="M339">
        <v>1</v>
      </c>
      <c r="N339">
        <v>0</v>
      </c>
      <c r="O339" t="s">
        <v>21</v>
      </c>
      <c r="P339" t="str" cm="1">
        <f t="array" ref="P3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0" spans="1:16">
      <c r="A340">
        <v>2402</v>
      </c>
      <c r="B340" t="s">
        <v>47</v>
      </c>
      <c r="C340" t="s">
        <v>16</v>
      </c>
      <c r="D340">
        <v>13.39</v>
      </c>
      <c r="E340">
        <v>7</v>
      </c>
      <c r="F340" t="s">
        <v>29</v>
      </c>
      <c r="G340" t="s">
        <v>44</v>
      </c>
      <c r="H340" t="s">
        <v>35</v>
      </c>
      <c r="I340" t="s">
        <v>26</v>
      </c>
      <c r="J340">
        <v>0</v>
      </c>
      <c r="K340">
        <v>0</v>
      </c>
      <c r="L340">
        <v>52</v>
      </c>
      <c r="M340">
        <v>1</v>
      </c>
      <c r="N340">
        <v>0</v>
      </c>
      <c r="O340" t="s">
        <v>21</v>
      </c>
      <c r="P340" t="str" cm="1">
        <f t="array" ref="P3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1" spans="1:16">
      <c r="A341">
        <v>5923</v>
      </c>
      <c r="B341" t="s">
        <v>49</v>
      </c>
      <c r="C341" t="s">
        <v>16</v>
      </c>
      <c r="D341">
        <v>34.58</v>
      </c>
      <c r="E341">
        <v>4</v>
      </c>
      <c r="F341" t="s">
        <v>50</v>
      </c>
      <c r="G341" t="s">
        <v>44</v>
      </c>
      <c r="H341" t="s">
        <v>48</v>
      </c>
      <c r="I341" t="s">
        <v>26</v>
      </c>
      <c r="J341">
        <v>1</v>
      </c>
      <c r="K341">
        <v>1</v>
      </c>
      <c r="L341">
        <v>38</v>
      </c>
      <c r="M341">
        <v>2</v>
      </c>
      <c r="N341">
        <v>1</v>
      </c>
      <c r="O341" t="s">
        <v>36</v>
      </c>
      <c r="P341" t="str" cm="1">
        <f t="array" ref="P3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2" spans="1:16">
      <c r="A342">
        <v>8117</v>
      </c>
      <c r="B342" t="s">
        <v>27</v>
      </c>
      <c r="C342" t="s">
        <v>28</v>
      </c>
      <c r="D342">
        <v>236.42</v>
      </c>
      <c r="E342">
        <v>9</v>
      </c>
      <c r="F342" t="s">
        <v>50</v>
      </c>
      <c r="G342" t="s">
        <v>18</v>
      </c>
      <c r="H342" t="s">
        <v>35</v>
      </c>
      <c r="I342" t="s">
        <v>20</v>
      </c>
      <c r="J342">
        <v>0</v>
      </c>
      <c r="K342">
        <v>0</v>
      </c>
      <c r="L342">
        <v>66</v>
      </c>
      <c r="M342">
        <v>2</v>
      </c>
      <c r="N342">
        <v>0</v>
      </c>
      <c r="O342" t="s">
        <v>21</v>
      </c>
      <c r="P342" t="str" cm="1">
        <f t="array" ref="P3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3" spans="1:16">
      <c r="A343">
        <v>315</v>
      </c>
      <c r="B343" t="s">
        <v>40</v>
      </c>
      <c r="C343" t="s">
        <v>33</v>
      </c>
      <c r="D343">
        <v>325.39999999999998</v>
      </c>
      <c r="E343">
        <v>18</v>
      </c>
      <c r="F343" t="s">
        <v>34</v>
      </c>
      <c r="G343" t="s">
        <v>38</v>
      </c>
      <c r="H343" t="s">
        <v>41</v>
      </c>
      <c r="I343" t="s">
        <v>25</v>
      </c>
      <c r="J343">
        <v>0</v>
      </c>
      <c r="K343">
        <v>0</v>
      </c>
      <c r="L343">
        <v>53</v>
      </c>
      <c r="M343">
        <v>0</v>
      </c>
      <c r="N343">
        <v>0</v>
      </c>
      <c r="O343" t="s">
        <v>21</v>
      </c>
      <c r="P343" t="str" cm="1">
        <f t="array" ref="P3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4" spans="1:16">
      <c r="A344">
        <v>6155</v>
      </c>
      <c r="B344" t="s">
        <v>47</v>
      </c>
      <c r="C344" t="s">
        <v>16</v>
      </c>
      <c r="D344">
        <v>37.340000000000003</v>
      </c>
      <c r="E344">
        <v>11</v>
      </c>
      <c r="F344" t="s">
        <v>34</v>
      </c>
      <c r="G344" t="s">
        <v>24</v>
      </c>
      <c r="H344" t="s">
        <v>19</v>
      </c>
      <c r="I344" t="s">
        <v>26</v>
      </c>
      <c r="J344">
        <v>0</v>
      </c>
      <c r="K344">
        <v>0</v>
      </c>
      <c r="L344">
        <v>27</v>
      </c>
      <c r="M344">
        <v>3</v>
      </c>
      <c r="N344">
        <v>0</v>
      </c>
      <c r="O344" t="s">
        <v>21</v>
      </c>
      <c r="P344" t="str" cm="1">
        <f t="array" ref="P3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5" spans="1:16">
      <c r="A345">
        <v>6325</v>
      </c>
      <c r="B345" t="s">
        <v>15</v>
      </c>
      <c r="C345" t="s">
        <v>16</v>
      </c>
      <c r="D345">
        <v>15.3</v>
      </c>
      <c r="E345">
        <v>3</v>
      </c>
      <c r="F345" t="s">
        <v>17</v>
      </c>
      <c r="G345" t="s">
        <v>38</v>
      </c>
      <c r="H345" t="s">
        <v>35</v>
      </c>
      <c r="I345" t="s">
        <v>31</v>
      </c>
      <c r="J345">
        <v>0</v>
      </c>
      <c r="K345">
        <v>0</v>
      </c>
      <c r="L345">
        <v>43</v>
      </c>
      <c r="M345">
        <v>5</v>
      </c>
      <c r="N345">
        <v>0</v>
      </c>
      <c r="O345" t="s">
        <v>21</v>
      </c>
      <c r="P345" t="str" cm="1">
        <f t="array" ref="P34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6" spans="1:16">
      <c r="A346">
        <v>5758</v>
      </c>
      <c r="B346" t="s">
        <v>27</v>
      </c>
      <c r="C346" t="s">
        <v>28</v>
      </c>
      <c r="D346">
        <v>101.23</v>
      </c>
      <c r="E346">
        <v>1</v>
      </c>
      <c r="F346" t="s">
        <v>17</v>
      </c>
      <c r="G346" t="s">
        <v>24</v>
      </c>
      <c r="H346" t="s">
        <v>41</v>
      </c>
      <c r="I346" t="s">
        <v>26</v>
      </c>
      <c r="J346">
        <v>0</v>
      </c>
      <c r="K346">
        <v>0</v>
      </c>
      <c r="L346">
        <v>69</v>
      </c>
      <c r="M346">
        <v>1</v>
      </c>
      <c r="N346">
        <v>0</v>
      </c>
      <c r="O346" t="s">
        <v>21</v>
      </c>
      <c r="P346" t="str" cm="1">
        <f t="array" ref="P3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7" spans="1:16">
      <c r="A347">
        <v>3964</v>
      </c>
      <c r="B347" t="s">
        <v>32</v>
      </c>
      <c r="C347" t="s">
        <v>33</v>
      </c>
      <c r="D347">
        <v>157.55000000000001</v>
      </c>
      <c r="E347">
        <v>8</v>
      </c>
      <c r="F347" t="s">
        <v>17</v>
      </c>
      <c r="G347" t="s">
        <v>24</v>
      </c>
      <c r="H347" t="s">
        <v>35</v>
      </c>
      <c r="I347" t="s">
        <v>25</v>
      </c>
      <c r="J347">
        <v>1</v>
      </c>
      <c r="K347">
        <v>0</v>
      </c>
      <c r="L347">
        <v>99</v>
      </c>
      <c r="M347">
        <v>2</v>
      </c>
      <c r="N347">
        <v>0</v>
      </c>
      <c r="O347" t="s">
        <v>21</v>
      </c>
      <c r="P347" t="str" cm="1">
        <f t="array" ref="P3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8" spans="1:16">
      <c r="A348">
        <v>2911</v>
      </c>
      <c r="B348" t="s">
        <v>37</v>
      </c>
      <c r="C348" t="s">
        <v>16</v>
      </c>
      <c r="D348">
        <v>47.14</v>
      </c>
      <c r="E348">
        <v>9</v>
      </c>
      <c r="F348" t="s">
        <v>50</v>
      </c>
      <c r="G348" t="s">
        <v>24</v>
      </c>
      <c r="H348" t="s">
        <v>48</v>
      </c>
      <c r="I348" t="s">
        <v>31</v>
      </c>
      <c r="J348">
        <v>1</v>
      </c>
      <c r="K348">
        <v>0</v>
      </c>
      <c r="L348">
        <v>36</v>
      </c>
      <c r="M348">
        <v>4</v>
      </c>
      <c r="N348">
        <v>0</v>
      </c>
      <c r="O348" t="s">
        <v>21</v>
      </c>
      <c r="P348" t="str" cm="1">
        <f t="array" ref="P3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49" spans="1:16">
      <c r="A349">
        <v>2651</v>
      </c>
      <c r="B349" t="s">
        <v>39</v>
      </c>
      <c r="C349" t="s">
        <v>28</v>
      </c>
      <c r="D349">
        <v>42.18</v>
      </c>
      <c r="E349">
        <v>21</v>
      </c>
      <c r="F349" t="s">
        <v>19</v>
      </c>
      <c r="G349" t="s">
        <v>24</v>
      </c>
      <c r="H349" t="s">
        <v>48</v>
      </c>
      <c r="I349" t="s">
        <v>20</v>
      </c>
      <c r="J349">
        <v>0</v>
      </c>
      <c r="K349">
        <v>0</v>
      </c>
      <c r="L349">
        <v>70</v>
      </c>
      <c r="M349">
        <v>1</v>
      </c>
      <c r="N349">
        <v>0</v>
      </c>
      <c r="O349" t="s">
        <v>21</v>
      </c>
      <c r="P349" t="str" cm="1">
        <f t="array" ref="P3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0" spans="1:16">
      <c r="A350">
        <v>8072</v>
      </c>
      <c r="B350" t="s">
        <v>56</v>
      </c>
      <c r="C350" t="s">
        <v>52</v>
      </c>
      <c r="D350">
        <v>96.46</v>
      </c>
      <c r="E350">
        <v>0</v>
      </c>
      <c r="F350" t="s">
        <v>50</v>
      </c>
      <c r="G350" t="s">
        <v>44</v>
      </c>
      <c r="H350" t="s">
        <v>48</v>
      </c>
      <c r="I350" t="s">
        <v>26</v>
      </c>
      <c r="J350">
        <v>0</v>
      </c>
      <c r="K350">
        <v>1</v>
      </c>
      <c r="L350">
        <v>38</v>
      </c>
      <c r="M350">
        <v>2</v>
      </c>
      <c r="N350">
        <v>1</v>
      </c>
      <c r="O350" t="s">
        <v>36</v>
      </c>
      <c r="P350" t="str" cm="1">
        <f t="array" ref="P3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1" spans="1:16">
      <c r="A351">
        <v>81</v>
      </c>
      <c r="B351" t="s">
        <v>59</v>
      </c>
      <c r="C351" t="s">
        <v>16</v>
      </c>
      <c r="D351">
        <v>357.94</v>
      </c>
      <c r="E351">
        <v>12</v>
      </c>
      <c r="F351" t="s">
        <v>17</v>
      </c>
      <c r="G351" t="s">
        <v>38</v>
      </c>
      <c r="H351" t="s">
        <v>30</v>
      </c>
      <c r="I351" t="s">
        <v>31</v>
      </c>
      <c r="J351">
        <v>0</v>
      </c>
      <c r="K351">
        <v>0</v>
      </c>
      <c r="L351">
        <v>83</v>
      </c>
      <c r="M351">
        <v>3</v>
      </c>
      <c r="N351">
        <v>0</v>
      </c>
      <c r="O351" t="s">
        <v>21</v>
      </c>
      <c r="P351" t="str" cm="1">
        <f t="array" ref="P3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2" spans="1:16">
      <c r="A352">
        <v>5386</v>
      </c>
      <c r="B352" t="s">
        <v>45</v>
      </c>
      <c r="C352" t="s">
        <v>28</v>
      </c>
      <c r="D352">
        <v>128.81</v>
      </c>
      <c r="E352">
        <v>23</v>
      </c>
      <c r="F352" t="s">
        <v>34</v>
      </c>
      <c r="G352" t="s">
        <v>44</v>
      </c>
      <c r="H352" t="s">
        <v>48</v>
      </c>
      <c r="I352" t="s">
        <v>26</v>
      </c>
      <c r="J352">
        <v>0</v>
      </c>
      <c r="K352">
        <v>0</v>
      </c>
      <c r="L352">
        <v>32</v>
      </c>
      <c r="M352">
        <v>2</v>
      </c>
      <c r="N352">
        <v>0</v>
      </c>
      <c r="O352" t="s">
        <v>21</v>
      </c>
      <c r="P352" t="str" cm="1">
        <f t="array" ref="P3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3" spans="1:16">
      <c r="A353">
        <v>2478</v>
      </c>
      <c r="B353" t="s">
        <v>51</v>
      </c>
      <c r="C353" t="s">
        <v>52</v>
      </c>
      <c r="D353">
        <v>281.35000000000002</v>
      </c>
      <c r="E353">
        <v>13</v>
      </c>
      <c r="F353" t="s">
        <v>29</v>
      </c>
      <c r="G353" t="s">
        <v>24</v>
      </c>
      <c r="H353" t="s">
        <v>35</v>
      </c>
      <c r="I353" t="s">
        <v>20</v>
      </c>
      <c r="J353">
        <v>0</v>
      </c>
      <c r="K353">
        <v>0</v>
      </c>
      <c r="L353">
        <v>35</v>
      </c>
      <c r="M353">
        <v>3</v>
      </c>
      <c r="N353">
        <v>0</v>
      </c>
      <c r="O353" t="s">
        <v>21</v>
      </c>
      <c r="P353" t="str" cm="1">
        <f t="array" ref="P3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4" spans="1:16">
      <c r="A354">
        <v>552</v>
      </c>
      <c r="B354" t="s">
        <v>39</v>
      </c>
      <c r="C354" t="s">
        <v>28</v>
      </c>
      <c r="D354">
        <v>344.12</v>
      </c>
      <c r="E354">
        <v>3</v>
      </c>
      <c r="F354" t="s">
        <v>34</v>
      </c>
      <c r="G354" t="s">
        <v>24</v>
      </c>
      <c r="H354" t="s">
        <v>48</v>
      </c>
      <c r="I354" t="s">
        <v>31</v>
      </c>
      <c r="J354">
        <v>1</v>
      </c>
      <c r="K354">
        <v>0</v>
      </c>
      <c r="L354">
        <v>38</v>
      </c>
      <c r="M354">
        <v>3</v>
      </c>
      <c r="N354">
        <v>1</v>
      </c>
      <c r="O354" t="s">
        <v>36</v>
      </c>
      <c r="P354" t="str" cm="1">
        <f t="array" ref="P3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5" spans="1:16">
      <c r="A355">
        <v>2522</v>
      </c>
      <c r="B355" t="s">
        <v>47</v>
      </c>
      <c r="C355" t="s">
        <v>16</v>
      </c>
      <c r="D355">
        <v>25.99</v>
      </c>
      <c r="E355">
        <v>1</v>
      </c>
      <c r="F355" t="s">
        <v>50</v>
      </c>
      <c r="G355" t="s">
        <v>44</v>
      </c>
      <c r="H355" t="s">
        <v>35</v>
      </c>
      <c r="I355" t="s">
        <v>26</v>
      </c>
      <c r="J355">
        <v>0</v>
      </c>
      <c r="K355">
        <v>0</v>
      </c>
      <c r="L355">
        <v>70</v>
      </c>
      <c r="M355">
        <v>4</v>
      </c>
      <c r="N355">
        <v>0</v>
      </c>
      <c r="O355" t="s">
        <v>21</v>
      </c>
      <c r="P355" t="str" cm="1">
        <f t="array" ref="P3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6" spans="1:16">
      <c r="A356">
        <v>3268</v>
      </c>
      <c r="B356" t="s">
        <v>39</v>
      </c>
      <c r="C356" t="s">
        <v>28</v>
      </c>
      <c r="D356">
        <v>148.05000000000001</v>
      </c>
      <c r="E356">
        <v>13</v>
      </c>
      <c r="F356" t="s">
        <v>50</v>
      </c>
      <c r="G356" t="s">
        <v>24</v>
      </c>
      <c r="H356" t="s">
        <v>35</v>
      </c>
      <c r="I356" t="s">
        <v>20</v>
      </c>
      <c r="J356">
        <v>1</v>
      </c>
      <c r="K356">
        <v>0</v>
      </c>
      <c r="L356">
        <v>70</v>
      </c>
      <c r="M356">
        <v>2</v>
      </c>
      <c r="N356">
        <v>0</v>
      </c>
      <c r="O356" t="s">
        <v>21</v>
      </c>
      <c r="P356" t="str" cm="1">
        <f t="array" ref="P3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7" spans="1:16">
      <c r="A357">
        <v>5233</v>
      </c>
      <c r="B357" t="s">
        <v>59</v>
      </c>
      <c r="C357" t="s">
        <v>16</v>
      </c>
      <c r="D357">
        <v>217.37</v>
      </c>
      <c r="E357">
        <v>20</v>
      </c>
      <c r="F357" t="s">
        <v>19</v>
      </c>
      <c r="G357" t="s">
        <v>53</v>
      </c>
      <c r="H357" t="s">
        <v>41</v>
      </c>
      <c r="I357" t="s">
        <v>31</v>
      </c>
      <c r="J357">
        <v>1</v>
      </c>
      <c r="K357">
        <v>1</v>
      </c>
      <c r="L357">
        <v>30</v>
      </c>
      <c r="M357">
        <v>2</v>
      </c>
      <c r="N357">
        <v>1</v>
      </c>
      <c r="O357" t="s">
        <v>36</v>
      </c>
      <c r="P357" t="str" cm="1">
        <f t="array" ref="P3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8" spans="1:16">
      <c r="A358">
        <v>5856</v>
      </c>
      <c r="B358" t="s">
        <v>45</v>
      </c>
      <c r="C358" t="s">
        <v>28</v>
      </c>
      <c r="D358">
        <v>258.66000000000003</v>
      </c>
      <c r="E358">
        <v>11</v>
      </c>
      <c r="F358" t="s">
        <v>50</v>
      </c>
      <c r="G358" t="s">
        <v>24</v>
      </c>
      <c r="H358" t="s">
        <v>30</v>
      </c>
      <c r="I358" t="s">
        <v>31</v>
      </c>
      <c r="J358">
        <v>0</v>
      </c>
      <c r="K358">
        <v>0</v>
      </c>
      <c r="L358">
        <v>31</v>
      </c>
      <c r="M358">
        <v>4</v>
      </c>
      <c r="N358">
        <v>0</v>
      </c>
      <c r="O358" t="s">
        <v>21</v>
      </c>
      <c r="P358" t="str" cm="1">
        <f t="array" ref="P3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59" spans="1:16">
      <c r="A359">
        <v>1699</v>
      </c>
      <c r="B359" t="s">
        <v>62</v>
      </c>
      <c r="C359" t="s">
        <v>43</v>
      </c>
      <c r="D359">
        <v>593.99</v>
      </c>
      <c r="E359">
        <v>4</v>
      </c>
      <c r="F359" t="s">
        <v>17</v>
      </c>
      <c r="G359" t="s">
        <v>44</v>
      </c>
      <c r="H359" t="s">
        <v>35</v>
      </c>
      <c r="I359" t="s">
        <v>20</v>
      </c>
      <c r="J359">
        <v>0</v>
      </c>
      <c r="K359">
        <v>1</v>
      </c>
      <c r="L359">
        <v>47</v>
      </c>
      <c r="M359">
        <v>2</v>
      </c>
      <c r="N359">
        <v>0</v>
      </c>
      <c r="O359" t="s">
        <v>21</v>
      </c>
      <c r="P359" t="str" cm="1">
        <f t="array" ref="P359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360" spans="1:16">
      <c r="A360">
        <v>1729</v>
      </c>
      <c r="B360" t="s">
        <v>32</v>
      </c>
      <c r="C360" t="s">
        <v>33</v>
      </c>
      <c r="D360">
        <v>302.73</v>
      </c>
      <c r="E360">
        <v>23</v>
      </c>
      <c r="F360" t="s">
        <v>29</v>
      </c>
      <c r="G360" t="s">
        <v>38</v>
      </c>
      <c r="H360" t="s">
        <v>19</v>
      </c>
      <c r="I360" t="s">
        <v>20</v>
      </c>
      <c r="J360">
        <v>0</v>
      </c>
      <c r="K360">
        <v>0</v>
      </c>
      <c r="L360">
        <v>69</v>
      </c>
      <c r="M360">
        <v>0</v>
      </c>
      <c r="N360">
        <v>0</v>
      </c>
      <c r="O360" t="s">
        <v>21</v>
      </c>
      <c r="P360" t="str" cm="1">
        <f t="array" ref="P3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1" spans="1:16">
      <c r="A361">
        <v>9964</v>
      </c>
      <c r="B361" t="s">
        <v>67</v>
      </c>
      <c r="C361" t="s">
        <v>28</v>
      </c>
      <c r="D361">
        <v>143.72</v>
      </c>
      <c r="E361">
        <v>13</v>
      </c>
      <c r="F361" t="s">
        <v>34</v>
      </c>
      <c r="G361" t="s">
        <v>24</v>
      </c>
      <c r="H361" t="s">
        <v>48</v>
      </c>
      <c r="I361" t="s">
        <v>20</v>
      </c>
      <c r="J361">
        <v>0</v>
      </c>
      <c r="K361">
        <v>0</v>
      </c>
      <c r="L361">
        <v>74</v>
      </c>
      <c r="M361">
        <v>2</v>
      </c>
      <c r="N361">
        <v>0</v>
      </c>
      <c r="O361" t="s">
        <v>21</v>
      </c>
      <c r="P361" t="str" cm="1">
        <f t="array" ref="P3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2" spans="1:16">
      <c r="A362">
        <v>9576</v>
      </c>
      <c r="B362" t="s">
        <v>60</v>
      </c>
      <c r="C362" t="s">
        <v>23</v>
      </c>
      <c r="D362">
        <v>74.040000000000006</v>
      </c>
      <c r="E362">
        <v>8</v>
      </c>
      <c r="F362" t="s">
        <v>29</v>
      </c>
      <c r="G362" t="s">
        <v>24</v>
      </c>
      <c r="H362" t="s">
        <v>35</v>
      </c>
      <c r="I362" t="s">
        <v>31</v>
      </c>
      <c r="J362">
        <v>0</v>
      </c>
      <c r="K362">
        <v>1</v>
      </c>
      <c r="L362">
        <v>50</v>
      </c>
      <c r="M362">
        <v>3</v>
      </c>
      <c r="N362">
        <v>0</v>
      </c>
      <c r="O362" t="s">
        <v>21</v>
      </c>
      <c r="P362" t="str" cm="1">
        <f t="array" ref="P3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3" spans="1:16">
      <c r="A363">
        <v>1189</v>
      </c>
      <c r="B363" t="s">
        <v>49</v>
      </c>
      <c r="C363" t="s">
        <v>16</v>
      </c>
      <c r="D363">
        <v>64.45</v>
      </c>
      <c r="E363">
        <v>10</v>
      </c>
      <c r="F363" t="s">
        <v>50</v>
      </c>
      <c r="G363" t="s">
        <v>44</v>
      </c>
      <c r="H363" t="s">
        <v>35</v>
      </c>
      <c r="I363" t="s">
        <v>20</v>
      </c>
      <c r="J363">
        <v>0</v>
      </c>
      <c r="K363">
        <v>0</v>
      </c>
      <c r="L363">
        <v>79</v>
      </c>
      <c r="M363">
        <v>2</v>
      </c>
      <c r="N363">
        <v>0</v>
      </c>
      <c r="O363" t="s">
        <v>21</v>
      </c>
      <c r="P363" t="str" cm="1">
        <f t="array" ref="P3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4" spans="1:16">
      <c r="A364">
        <v>5744</v>
      </c>
      <c r="B364" t="s">
        <v>32</v>
      </c>
      <c r="C364" t="s">
        <v>33</v>
      </c>
      <c r="D364">
        <v>860.84</v>
      </c>
      <c r="E364">
        <v>15</v>
      </c>
      <c r="F364" t="s">
        <v>34</v>
      </c>
      <c r="G364" t="s">
        <v>24</v>
      </c>
      <c r="H364" t="s">
        <v>30</v>
      </c>
      <c r="I364" t="s">
        <v>20</v>
      </c>
      <c r="J364">
        <v>1</v>
      </c>
      <c r="K364">
        <v>0</v>
      </c>
      <c r="L364">
        <v>82</v>
      </c>
      <c r="M364">
        <v>3</v>
      </c>
      <c r="N364">
        <v>0</v>
      </c>
      <c r="O364" t="s">
        <v>21</v>
      </c>
      <c r="P364" t="str" cm="1">
        <f t="array" ref="P364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365" spans="1:16">
      <c r="A365">
        <v>7218</v>
      </c>
      <c r="B365" t="s">
        <v>54</v>
      </c>
      <c r="C365" t="s">
        <v>28</v>
      </c>
      <c r="D365">
        <v>225.76</v>
      </c>
      <c r="E365">
        <v>6</v>
      </c>
      <c r="F365" t="s">
        <v>34</v>
      </c>
      <c r="G365" t="s">
        <v>24</v>
      </c>
      <c r="H365" t="s">
        <v>30</v>
      </c>
      <c r="I365" t="s">
        <v>20</v>
      </c>
      <c r="J365">
        <v>1</v>
      </c>
      <c r="K365">
        <v>0</v>
      </c>
      <c r="L365">
        <v>62</v>
      </c>
      <c r="M365">
        <v>5</v>
      </c>
      <c r="N365">
        <v>0</v>
      </c>
      <c r="O365" t="s">
        <v>21</v>
      </c>
      <c r="P365" t="str" cm="1">
        <f t="array" ref="P3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6" spans="1:16">
      <c r="A366">
        <v>2347</v>
      </c>
      <c r="B366" t="s">
        <v>59</v>
      </c>
      <c r="C366" t="s">
        <v>16</v>
      </c>
      <c r="D366">
        <v>204.35</v>
      </c>
      <c r="E366">
        <v>23</v>
      </c>
      <c r="F366" t="s">
        <v>29</v>
      </c>
      <c r="G366" t="s">
        <v>18</v>
      </c>
      <c r="H366" t="s">
        <v>25</v>
      </c>
      <c r="I366" t="s">
        <v>31</v>
      </c>
      <c r="J366">
        <v>0</v>
      </c>
      <c r="K366">
        <v>0</v>
      </c>
      <c r="L366">
        <v>31</v>
      </c>
      <c r="M366">
        <v>2</v>
      </c>
      <c r="N366">
        <v>0</v>
      </c>
      <c r="O366" t="s">
        <v>21</v>
      </c>
      <c r="P366" t="str" cm="1">
        <f t="array" ref="P3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7" spans="1:16">
      <c r="A367">
        <v>6008</v>
      </c>
      <c r="B367" t="s">
        <v>15</v>
      </c>
      <c r="C367" t="s">
        <v>16</v>
      </c>
      <c r="D367">
        <v>13.62</v>
      </c>
      <c r="E367">
        <v>6</v>
      </c>
      <c r="F367" t="s">
        <v>50</v>
      </c>
      <c r="G367" t="s">
        <v>24</v>
      </c>
      <c r="H367" t="s">
        <v>48</v>
      </c>
      <c r="I367" t="s">
        <v>26</v>
      </c>
      <c r="J367">
        <v>0</v>
      </c>
      <c r="K367">
        <v>0</v>
      </c>
      <c r="L367">
        <v>37</v>
      </c>
      <c r="M367">
        <v>2</v>
      </c>
      <c r="N367">
        <v>0</v>
      </c>
      <c r="O367" t="s">
        <v>21</v>
      </c>
      <c r="P367" t="str" cm="1">
        <f t="array" ref="P3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8" spans="1:16">
      <c r="A368">
        <v>4258</v>
      </c>
      <c r="B368" t="s">
        <v>22</v>
      </c>
      <c r="C368" t="s">
        <v>23</v>
      </c>
      <c r="D368">
        <v>108.18</v>
      </c>
      <c r="E368">
        <v>22</v>
      </c>
      <c r="F368" t="s">
        <v>50</v>
      </c>
      <c r="G368" t="s">
        <v>18</v>
      </c>
      <c r="H368" t="s">
        <v>35</v>
      </c>
      <c r="I368" t="s">
        <v>20</v>
      </c>
      <c r="J368">
        <v>0</v>
      </c>
      <c r="K368">
        <v>0</v>
      </c>
      <c r="L368">
        <v>38</v>
      </c>
      <c r="M368">
        <v>2</v>
      </c>
      <c r="N368">
        <v>0</v>
      </c>
      <c r="O368" t="s">
        <v>21</v>
      </c>
      <c r="P368" t="str" cm="1">
        <f t="array" ref="P3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69" spans="1:16">
      <c r="A369">
        <v>5697</v>
      </c>
      <c r="B369" t="s">
        <v>15</v>
      </c>
      <c r="C369" t="s">
        <v>16</v>
      </c>
      <c r="D369">
        <v>106.95</v>
      </c>
      <c r="E369">
        <v>2</v>
      </c>
      <c r="F369" t="s">
        <v>50</v>
      </c>
      <c r="G369" t="s">
        <v>24</v>
      </c>
      <c r="H369" t="s">
        <v>25</v>
      </c>
      <c r="I369" t="s">
        <v>20</v>
      </c>
      <c r="J369">
        <v>1</v>
      </c>
      <c r="K369">
        <v>0</v>
      </c>
      <c r="L369">
        <v>64</v>
      </c>
      <c r="M369">
        <v>4</v>
      </c>
      <c r="N369">
        <v>0</v>
      </c>
      <c r="O369" t="s">
        <v>21</v>
      </c>
      <c r="P369" t="str" cm="1">
        <f t="array" ref="P3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0" spans="1:16">
      <c r="A370">
        <v>7583</v>
      </c>
      <c r="B370" t="s">
        <v>64</v>
      </c>
      <c r="C370" t="s">
        <v>23</v>
      </c>
      <c r="D370">
        <v>0.23</v>
      </c>
      <c r="E370">
        <v>18</v>
      </c>
      <c r="F370" t="s">
        <v>34</v>
      </c>
      <c r="G370" t="s">
        <v>38</v>
      </c>
      <c r="H370" t="s">
        <v>25</v>
      </c>
      <c r="I370" t="s">
        <v>20</v>
      </c>
      <c r="J370">
        <v>0</v>
      </c>
      <c r="K370">
        <v>1</v>
      </c>
      <c r="L370">
        <v>81</v>
      </c>
      <c r="M370">
        <v>1</v>
      </c>
      <c r="N370">
        <v>0</v>
      </c>
      <c r="O370" t="s">
        <v>21</v>
      </c>
      <c r="P370" t="str" cm="1">
        <f t="array" ref="P3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1" spans="1:16">
      <c r="A371">
        <v>3798</v>
      </c>
      <c r="B371" t="s">
        <v>49</v>
      </c>
      <c r="C371" t="s">
        <v>16</v>
      </c>
      <c r="D371">
        <v>19.62</v>
      </c>
      <c r="E371">
        <v>15</v>
      </c>
      <c r="F371" t="s">
        <v>29</v>
      </c>
      <c r="G371" t="s">
        <v>24</v>
      </c>
      <c r="H371" t="s">
        <v>30</v>
      </c>
      <c r="I371" t="s">
        <v>20</v>
      </c>
      <c r="J371">
        <v>0</v>
      </c>
      <c r="K371">
        <v>0</v>
      </c>
      <c r="L371">
        <v>36</v>
      </c>
      <c r="M371">
        <v>3</v>
      </c>
      <c r="N371">
        <v>0</v>
      </c>
      <c r="O371" t="s">
        <v>21</v>
      </c>
      <c r="P371" t="str" cm="1">
        <f t="array" ref="P3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2" spans="1:16">
      <c r="A372">
        <v>8222</v>
      </c>
      <c r="B372" t="s">
        <v>63</v>
      </c>
      <c r="C372" t="s">
        <v>28</v>
      </c>
      <c r="D372">
        <v>38.5</v>
      </c>
      <c r="E372">
        <v>1</v>
      </c>
      <c r="F372" t="s">
        <v>29</v>
      </c>
      <c r="G372" t="s">
        <v>18</v>
      </c>
      <c r="H372" t="s">
        <v>35</v>
      </c>
      <c r="I372" t="s">
        <v>20</v>
      </c>
      <c r="J372">
        <v>0</v>
      </c>
      <c r="K372">
        <v>0</v>
      </c>
      <c r="L372">
        <v>79</v>
      </c>
      <c r="M372">
        <v>1</v>
      </c>
      <c r="N372">
        <v>0</v>
      </c>
      <c r="O372" t="s">
        <v>21</v>
      </c>
      <c r="P372" t="str" cm="1">
        <f t="array" ref="P3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3" spans="1:16">
      <c r="A373">
        <v>7825</v>
      </c>
      <c r="B373" t="s">
        <v>40</v>
      </c>
      <c r="C373" t="s">
        <v>33</v>
      </c>
      <c r="D373">
        <v>108.15</v>
      </c>
      <c r="E373">
        <v>15</v>
      </c>
      <c r="F373" t="s">
        <v>50</v>
      </c>
      <c r="G373" t="s">
        <v>38</v>
      </c>
      <c r="H373" t="s">
        <v>48</v>
      </c>
      <c r="I373" t="s">
        <v>26</v>
      </c>
      <c r="J373">
        <v>0</v>
      </c>
      <c r="K373">
        <v>0</v>
      </c>
      <c r="L373">
        <v>88</v>
      </c>
      <c r="M373">
        <v>1</v>
      </c>
      <c r="N373">
        <v>0</v>
      </c>
      <c r="O373" t="s">
        <v>21</v>
      </c>
      <c r="P373" t="str" cm="1">
        <f t="array" ref="P3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4" spans="1:16">
      <c r="A374">
        <v>7591</v>
      </c>
      <c r="B374" t="s">
        <v>56</v>
      </c>
      <c r="C374" t="s">
        <v>52</v>
      </c>
      <c r="D374">
        <v>38.380000000000003</v>
      </c>
      <c r="E374">
        <v>0</v>
      </c>
      <c r="F374" t="s">
        <v>17</v>
      </c>
      <c r="G374" t="s">
        <v>38</v>
      </c>
      <c r="H374" t="s">
        <v>35</v>
      </c>
      <c r="I374" t="s">
        <v>25</v>
      </c>
      <c r="J374">
        <v>0</v>
      </c>
      <c r="K374">
        <v>1</v>
      </c>
      <c r="L374">
        <v>39</v>
      </c>
      <c r="M374">
        <v>3</v>
      </c>
      <c r="N374">
        <v>1</v>
      </c>
      <c r="O374" t="s">
        <v>36</v>
      </c>
      <c r="P374" t="str" cm="1">
        <f t="array" ref="P3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5" spans="1:16">
      <c r="A375">
        <v>5407</v>
      </c>
      <c r="B375" t="s">
        <v>49</v>
      </c>
      <c r="C375" t="s">
        <v>16</v>
      </c>
      <c r="D375">
        <v>611.98</v>
      </c>
      <c r="E375">
        <v>13</v>
      </c>
      <c r="F375" t="s">
        <v>34</v>
      </c>
      <c r="G375" t="s">
        <v>24</v>
      </c>
      <c r="H375" t="s">
        <v>35</v>
      </c>
      <c r="I375" t="s">
        <v>31</v>
      </c>
      <c r="J375">
        <v>1</v>
      </c>
      <c r="K375">
        <v>1</v>
      </c>
      <c r="L375">
        <v>31</v>
      </c>
      <c r="M375">
        <v>0</v>
      </c>
      <c r="N375">
        <v>1</v>
      </c>
      <c r="O375" t="s">
        <v>36</v>
      </c>
      <c r="P375" t="str" cm="1">
        <f t="array" ref="P375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376" spans="1:16">
      <c r="A376">
        <v>9777</v>
      </c>
      <c r="B376" t="s">
        <v>27</v>
      </c>
      <c r="C376" t="s">
        <v>28</v>
      </c>
      <c r="D376">
        <v>138.81</v>
      </c>
      <c r="E376">
        <v>23</v>
      </c>
      <c r="F376" t="s">
        <v>17</v>
      </c>
      <c r="G376" t="s">
        <v>24</v>
      </c>
      <c r="H376" t="s">
        <v>30</v>
      </c>
      <c r="I376" t="s">
        <v>26</v>
      </c>
      <c r="J376">
        <v>1</v>
      </c>
      <c r="K376">
        <v>0</v>
      </c>
      <c r="L376">
        <v>69</v>
      </c>
      <c r="M376">
        <v>2</v>
      </c>
      <c r="N376">
        <v>0</v>
      </c>
      <c r="O376" t="s">
        <v>21</v>
      </c>
      <c r="P376" t="str" cm="1">
        <f t="array" ref="P3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7" spans="1:16">
      <c r="A377">
        <v>906</v>
      </c>
      <c r="B377" t="s">
        <v>59</v>
      </c>
      <c r="C377" t="s">
        <v>16</v>
      </c>
      <c r="D377">
        <v>401.74</v>
      </c>
      <c r="E377">
        <v>5</v>
      </c>
      <c r="F377" t="s">
        <v>19</v>
      </c>
      <c r="G377" t="s">
        <v>24</v>
      </c>
      <c r="H377" t="s">
        <v>35</v>
      </c>
      <c r="I377" t="s">
        <v>25</v>
      </c>
      <c r="J377">
        <v>0</v>
      </c>
      <c r="K377">
        <v>0</v>
      </c>
      <c r="L377">
        <v>37</v>
      </c>
      <c r="M377">
        <v>3</v>
      </c>
      <c r="N377">
        <v>0</v>
      </c>
      <c r="O377" t="s">
        <v>21</v>
      </c>
      <c r="P377" t="str" cm="1">
        <f t="array" ref="P3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8" spans="1:16">
      <c r="A378">
        <v>5153</v>
      </c>
      <c r="B378" t="s">
        <v>60</v>
      </c>
      <c r="C378" t="s">
        <v>23</v>
      </c>
      <c r="D378">
        <v>431.1</v>
      </c>
      <c r="E378">
        <v>3</v>
      </c>
      <c r="F378" t="s">
        <v>29</v>
      </c>
      <c r="G378" t="s">
        <v>53</v>
      </c>
      <c r="H378" t="s">
        <v>35</v>
      </c>
      <c r="I378" t="s">
        <v>26</v>
      </c>
      <c r="J378">
        <v>0</v>
      </c>
      <c r="K378">
        <v>1</v>
      </c>
      <c r="L378">
        <v>28</v>
      </c>
      <c r="M378">
        <v>3</v>
      </c>
      <c r="N378">
        <v>1</v>
      </c>
      <c r="O378" t="s">
        <v>36</v>
      </c>
      <c r="P378" t="str" cm="1">
        <f t="array" ref="P3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79" spans="1:16">
      <c r="A379">
        <v>9987</v>
      </c>
      <c r="B379" t="s">
        <v>27</v>
      </c>
      <c r="C379" t="s">
        <v>28</v>
      </c>
      <c r="D379">
        <v>70.69</v>
      </c>
      <c r="E379">
        <v>2</v>
      </c>
      <c r="F379" t="s">
        <v>19</v>
      </c>
      <c r="G379" t="s">
        <v>18</v>
      </c>
      <c r="H379" t="s">
        <v>48</v>
      </c>
      <c r="I379" t="s">
        <v>26</v>
      </c>
      <c r="J379">
        <v>0</v>
      </c>
      <c r="K379">
        <v>1</v>
      </c>
      <c r="L379">
        <v>90</v>
      </c>
      <c r="M379">
        <v>2</v>
      </c>
      <c r="N379">
        <v>0</v>
      </c>
      <c r="O379" t="s">
        <v>21</v>
      </c>
      <c r="P379" t="str" cm="1">
        <f t="array" ref="P3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0" spans="1:16">
      <c r="A380">
        <v>5561</v>
      </c>
      <c r="B380" t="s">
        <v>45</v>
      </c>
      <c r="C380" t="s">
        <v>28</v>
      </c>
      <c r="D380">
        <v>75.06</v>
      </c>
      <c r="E380">
        <v>1</v>
      </c>
      <c r="F380" t="s">
        <v>50</v>
      </c>
      <c r="G380" t="s">
        <v>18</v>
      </c>
      <c r="H380" t="s">
        <v>48</v>
      </c>
      <c r="I380" t="s">
        <v>20</v>
      </c>
      <c r="J380">
        <v>1</v>
      </c>
      <c r="K380">
        <v>0</v>
      </c>
      <c r="L380">
        <v>34</v>
      </c>
      <c r="M380">
        <v>3</v>
      </c>
      <c r="N380">
        <v>1</v>
      </c>
      <c r="O380" t="s">
        <v>36</v>
      </c>
      <c r="P380" t="str" cm="1">
        <f t="array" ref="P3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1" spans="1:16">
      <c r="A381">
        <v>888</v>
      </c>
      <c r="B381" t="s">
        <v>61</v>
      </c>
      <c r="C381" t="s">
        <v>28</v>
      </c>
      <c r="D381">
        <v>48.97</v>
      </c>
      <c r="E381">
        <v>0</v>
      </c>
      <c r="F381" t="s">
        <v>17</v>
      </c>
      <c r="G381" t="s">
        <v>18</v>
      </c>
      <c r="H381" t="s">
        <v>48</v>
      </c>
      <c r="I381" t="s">
        <v>20</v>
      </c>
      <c r="J381">
        <v>0</v>
      </c>
      <c r="K381">
        <v>0</v>
      </c>
      <c r="L381">
        <v>83</v>
      </c>
      <c r="M381">
        <v>0</v>
      </c>
      <c r="N381">
        <v>0</v>
      </c>
      <c r="O381" t="s">
        <v>21</v>
      </c>
      <c r="P381" t="str" cm="1">
        <f t="array" ref="P3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2" spans="1:16">
      <c r="A382">
        <v>1751</v>
      </c>
      <c r="B382" t="s">
        <v>57</v>
      </c>
      <c r="C382" t="s">
        <v>43</v>
      </c>
      <c r="D382">
        <v>137.94999999999999</v>
      </c>
      <c r="E382">
        <v>14</v>
      </c>
      <c r="F382" t="s">
        <v>29</v>
      </c>
      <c r="G382" t="s">
        <v>44</v>
      </c>
      <c r="H382" t="s">
        <v>48</v>
      </c>
      <c r="I382" t="s">
        <v>31</v>
      </c>
      <c r="J382">
        <v>0</v>
      </c>
      <c r="K382">
        <v>0</v>
      </c>
      <c r="L382">
        <v>83</v>
      </c>
      <c r="M382">
        <v>2</v>
      </c>
      <c r="N382">
        <v>0</v>
      </c>
      <c r="O382" t="s">
        <v>21</v>
      </c>
      <c r="P382" t="str" cm="1">
        <f t="array" ref="P3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3" spans="1:16">
      <c r="A383">
        <v>2656</v>
      </c>
      <c r="B383" t="s">
        <v>63</v>
      </c>
      <c r="C383" t="s">
        <v>28</v>
      </c>
      <c r="D383">
        <v>96.97</v>
      </c>
      <c r="E383">
        <v>7</v>
      </c>
      <c r="F383" t="s">
        <v>19</v>
      </c>
      <c r="G383" t="s">
        <v>24</v>
      </c>
      <c r="H383" t="s">
        <v>25</v>
      </c>
      <c r="I383" t="s">
        <v>20</v>
      </c>
      <c r="J383">
        <v>0</v>
      </c>
      <c r="K383">
        <v>0</v>
      </c>
      <c r="L383">
        <v>52</v>
      </c>
      <c r="M383">
        <v>0</v>
      </c>
      <c r="N383">
        <v>0</v>
      </c>
      <c r="O383" t="s">
        <v>21</v>
      </c>
      <c r="P383" t="str" cm="1">
        <f t="array" ref="P3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4" spans="1:16">
      <c r="A384">
        <v>6058</v>
      </c>
      <c r="B384" t="s">
        <v>49</v>
      </c>
      <c r="C384" t="s">
        <v>16</v>
      </c>
      <c r="D384">
        <v>121.31</v>
      </c>
      <c r="E384">
        <v>1</v>
      </c>
      <c r="F384" t="s">
        <v>50</v>
      </c>
      <c r="G384" t="s">
        <v>53</v>
      </c>
      <c r="H384" t="s">
        <v>25</v>
      </c>
      <c r="I384" t="s">
        <v>26</v>
      </c>
      <c r="J384">
        <v>1</v>
      </c>
      <c r="K384">
        <v>0</v>
      </c>
      <c r="L384">
        <v>70</v>
      </c>
      <c r="M384">
        <v>3</v>
      </c>
      <c r="N384">
        <v>0</v>
      </c>
      <c r="O384" t="s">
        <v>21</v>
      </c>
      <c r="P384" t="str" cm="1">
        <f t="array" ref="P3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5" spans="1:16">
      <c r="A385">
        <v>3929</v>
      </c>
      <c r="B385" t="s">
        <v>46</v>
      </c>
      <c r="C385" t="s">
        <v>23</v>
      </c>
      <c r="D385">
        <v>209.68</v>
      </c>
      <c r="E385">
        <v>16</v>
      </c>
      <c r="F385" t="s">
        <v>34</v>
      </c>
      <c r="G385" t="s">
        <v>38</v>
      </c>
      <c r="H385" t="s">
        <v>48</v>
      </c>
      <c r="I385" t="s">
        <v>31</v>
      </c>
      <c r="J385">
        <v>0</v>
      </c>
      <c r="K385">
        <v>0</v>
      </c>
      <c r="L385">
        <v>91</v>
      </c>
      <c r="M385">
        <v>2</v>
      </c>
      <c r="N385">
        <v>0</v>
      </c>
      <c r="O385" t="s">
        <v>21</v>
      </c>
      <c r="P385" t="str" cm="1">
        <f t="array" ref="P3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6" spans="1:16">
      <c r="A386">
        <v>9554</v>
      </c>
      <c r="B386" t="s">
        <v>51</v>
      </c>
      <c r="C386" t="s">
        <v>52</v>
      </c>
      <c r="D386">
        <v>182.65</v>
      </c>
      <c r="E386">
        <v>2</v>
      </c>
      <c r="F386" t="s">
        <v>17</v>
      </c>
      <c r="G386" t="s">
        <v>24</v>
      </c>
      <c r="H386" t="s">
        <v>35</v>
      </c>
      <c r="I386" t="s">
        <v>26</v>
      </c>
      <c r="J386">
        <v>1</v>
      </c>
      <c r="K386">
        <v>1</v>
      </c>
      <c r="L386">
        <v>31</v>
      </c>
      <c r="M386">
        <v>2</v>
      </c>
      <c r="N386">
        <v>1</v>
      </c>
      <c r="O386" t="s">
        <v>36</v>
      </c>
      <c r="P386" t="str" cm="1">
        <f t="array" ref="P3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7" spans="1:16">
      <c r="A387">
        <v>5614</v>
      </c>
      <c r="B387" t="s">
        <v>61</v>
      </c>
      <c r="C387" t="s">
        <v>28</v>
      </c>
      <c r="D387">
        <v>50.5</v>
      </c>
      <c r="E387">
        <v>17</v>
      </c>
      <c r="F387" t="s">
        <v>34</v>
      </c>
      <c r="G387" t="s">
        <v>18</v>
      </c>
      <c r="H387" t="s">
        <v>48</v>
      </c>
      <c r="I387" t="s">
        <v>26</v>
      </c>
      <c r="J387">
        <v>0</v>
      </c>
      <c r="K387">
        <v>0</v>
      </c>
      <c r="L387">
        <v>33</v>
      </c>
      <c r="M387">
        <v>1</v>
      </c>
      <c r="N387">
        <v>0</v>
      </c>
      <c r="O387" t="s">
        <v>21</v>
      </c>
      <c r="P387" t="str" cm="1">
        <f t="array" ref="P3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8" spans="1:16">
      <c r="A388">
        <v>6117</v>
      </c>
      <c r="B388" t="s">
        <v>32</v>
      </c>
      <c r="C388" t="s">
        <v>33</v>
      </c>
      <c r="D388">
        <v>193.61</v>
      </c>
      <c r="E388">
        <v>17</v>
      </c>
      <c r="F388" t="s">
        <v>19</v>
      </c>
      <c r="G388" t="s">
        <v>24</v>
      </c>
      <c r="H388" t="s">
        <v>19</v>
      </c>
      <c r="I388" t="s">
        <v>20</v>
      </c>
      <c r="J388">
        <v>1</v>
      </c>
      <c r="K388">
        <v>0</v>
      </c>
      <c r="L388">
        <v>77</v>
      </c>
      <c r="M388">
        <v>2</v>
      </c>
      <c r="N388">
        <v>0</v>
      </c>
      <c r="O388" t="s">
        <v>21</v>
      </c>
      <c r="P388" t="str" cm="1">
        <f t="array" ref="P3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89" spans="1:16">
      <c r="A389">
        <v>407</v>
      </c>
      <c r="B389" t="s">
        <v>64</v>
      </c>
      <c r="C389" t="s">
        <v>23</v>
      </c>
      <c r="D389">
        <v>88.74</v>
      </c>
      <c r="E389">
        <v>13</v>
      </c>
      <c r="F389" t="s">
        <v>29</v>
      </c>
      <c r="G389" t="s">
        <v>44</v>
      </c>
      <c r="H389" t="s">
        <v>25</v>
      </c>
      <c r="I389" t="s">
        <v>20</v>
      </c>
      <c r="J389">
        <v>0</v>
      </c>
      <c r="K389">
        <v>0</v>
      </c>
      <c r="L389">
        <v>31</v>
      </c>
      <c r="M389">
        <v>3</v>
      </c>
      <c r="N389">
        <v>0</v>
      </c>
      <c r="O389" t="s">
        <v>21</v>
      </c>
      <c r="P389" t="str" cm="1">
        <f t="array" ref="P3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0" spans="1:16">
      <c r="A390">
        <v>3121</v>
      </c>
      <c r="B390" t="s">
        <v>39</v>
      </c>
      <c r="C390" t="s">
        <v>28</v>
      </c>
      <c r="D390">
        <v>56.85</v>
      </c>
      <c r="E390">
        <v>8</v>
      </c>
      <c r="F390" t="s">
        <v>29</v>
      </c>
      <c r="G390" t="s">
        <v>18</v>
      </c>
      <c r="H390" t="s">
        <v>41</v>
      </c>
      <c r="I390" t="s">
        <v>20</v>
      </c>
      <c r="J390">
        <v>0</v>
      </c>
      <c r="K390">
        <v>0</v>
      </c>
      <c r="L390">
        <v>28</v>
      </c>
      <c r="M390">
        <v>3</v>
      </c>
      <c r="N390">
        <v>0</v>
      </c>
      <c r="O390" t="s">
        <v>21</v>
      </c>
      <c r="P390" t="str" cm="1">
        <f t="array" ref="P3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1" spans="1:16">
      <c r="A391">
        <v>1425</v>
      </c>
      <c r="B391" t="s">
        <v>37</v>
      </c>
      <c r="C391" t="s">
        <v>16</v>
      </c>
      <c r="D391">
        <v>776.66</v>
      </c>
      <c r="E391">
        <v>3</v>
      </c>
      <c r="F391" t="s">
        <v>34</v>
      </c>
      <c r="G391" t="s">
        <v>44</v>
      </c>
      <c r="H391" t="s">
        <v>30</v>
      </c>
      <c r="I391" t="s">
        <v>20</v>
      </c>
      <c r="J391">
        <v>1</v>
      </c>
      <c r="K391">
        <v>0</v>
      </c>
      <c r="L391">
        <v>32</v>
      </c>
      <c r="M391">
        <v>4</v>
      </c>
      <c r="N391">
        <v>1</v>
      </c>
      <c r="O391" t="s">
        <v>36</v>
      </c>
      <c r="P391" t="str" cm="1">
        <f t="array" ref="P391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392" spans="1:16">
      <c r="A392">
        <v>2579</v>
      </c>
      <c r="B392" t="s">
        <v>45</v>
      </c>
      <c r="C392" t="s">
        <v>28</v>
      </c>
      <c r="D392">
        <v>79.72</v>
      </c>
      <c r="E392">
        <v>0</v>
      </c>
      <c r="F392" t="s">
        <v>50</v>
      </c>
      <c r="G392" t="s">
        <v>38</v>
      </c>
      <c r="H392" t="s">
        <v>48</v>
      </c>
      <c r="I392" t="s">
        <v>20</v>
      </c>
      <c r="J392">
        <v>0</v>
      </c>
      <c r="K392">
        <v>0</v>
      </c>
      <c r="L392">
        <v>38</v>
      </c>
      <c r="M392">
        <v>0</v>
      </c>
      <c r="N392">
        <v>0</v>
      </c>
      <c r="O392" t="s">
        <v>21</v>
      </c>
      <c r="P392" t="str" cm="1">
        <f t="array" ref="P3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3" spans="1:16">
      <c r="A393">
        <v>7970</v>
      </c>
      <c r="B393" t="s">
        <v>46</v>
      </c>
      <c r="C393" t="s">
        <v>23</v>
      </c>
      <c r="D393">
        <v>405.85</v>
      </c>
      <c r="E393">
        <v>4</v>
      </c>
      <c r="F393" t="s">
        <v>50</v>
      </c>
      <c r="G393" t="s">
        <v>44</v>
      </c>
      <c r="H393" t="s">
        <v>48</v>
      </c>
      <c r="I393" t="s">
        <v>26</v>
      </c>
      <c r="J393">
        <v>1</v>
      </c>
      <c r="K393">
        <v>0</v>
      </c>
      <c r="L393">
        <v>69</v>
      </c>
      <c r="M393">
        <v>2</v>
      </c>
      <c r="N393">
        <v>0</v>
      </c>
      <c r="O393" t="s">
        <v>21</v>
      </c>
      <c r="P393" t="str" cm="1">
        <f t="array" ref="P3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4" spans="1:16">
      <c r="A394">
        <v>9945</v>
      </c>
      <c r="B394" t="s">
        <v>63</v>
      </c>
      <c r="C394" t="s">
        <v>28</v>
      </c>
      <c r="D394">
        <v>61.48</v>
      </c>
      <c r="E394">
        <v>7</v>
      </c>
      <c r="F394" t="s">
        <v>29</v>
      </c>
      <c r="G394" t="s">
        <v>44</v>
      </c>
      <c r="H394" t="s">
        <v>35</v>
      </c>
      <c r="I394" t="s">
        <v>31</v>
      </c>
      <c r="J394">
        <v>0</v>
      </c>
      <c r="K394">
        <v>0</v>
      </c>
      <c r="L394">
        <v>45</v>
      </c>
      <c r="M394">
        <v>3</v>
      </c>
      <c r="N394">
        <v>0</v>
      </c>
      <c r="O394" t="s">
        <v>21</v>
      </c>
      <c r="P394" t="str" cm="1">
        <f t="array" ref="P3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5" spans="1:16">
      <c r="A395">
        <v>3133</v>
      </c>
      <c r="B395" t="s">
        <v>45</v>
      </c>
      <c r="C395" t="s">
        <v>28</v>
      </c>
      <c r="D395">
        <v>485.78</v>
      </c>
      <c r="E395">
        <v>9</v>
      </c>
      <c r="F395" t="s">
        <v>29</v>
      </c>
      <c r="G395" t="s">
        <v>24</v>
      </c>
      <c r="H395" t="s">
        <v>35</v>
      </c>
      <c r="I395" t="s">
        <v>20</v>
      </c>
      <c r="J395">
        <v>0</v>
      </c>
      <c r="K395">
        <v>1</v>
      </c>
      <c r="L395">
        <v>98</v>
      </c>
      <c r="M395">
        <v>1</v>
      </c>
      <c r="N395">
        <v>0</v>
      </c>
      <c r="O395" t="s">
        <v>21</v>
      </c>
      <c r="P395" t="str" cm="1">
        <f t="array" ref="P3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6" spans="1:16">
      <c r="A396">
        <v>3832</v>
      </c>
      <c r="B396" t="s">
        <v>46</v>
      </c>
      <c r="C396" t="s">
        <v>23</v>
      </c>
      <c r="D396">
        <v>297.43</v>
      </c>
      <c r="E396">
        <v>14</v>
      </c>
      <c r="F396" t="s">
        <v>19</v>
      </c>
      <c r="G396" t="s">
        <v>24</v>
      </c>
      <c r="H396" t="s">
        <v>35</v>
      </c>
      <c r="I396" t="s">
        <v>20</v>
      </c>
      <c r="J396">
        <v>0</v>
      </c>
      <c r="K396">
        <v>0</v>
      </c>
      <c r="L396">
        <v>98</v>
      </c>
      <c r="M396">
        <v>1</v>
      </c>
      <c r="N396">
        <v>0</v>
      </c>
      <c r="O396" t="s">
        <v>21</v>
      </c>
      <c r="P396" t="str" cm="1">
        <f t="array" ref="P3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7" spans="1:16">
      <c r="A397">
        <v>7942</v>
      </c>
      <c r="B397" t="s">
        <v>64</v>
      </c>
      <c r="C397" t="s">
        <v>23</v>
      </c>
      <c r="D397">
        <v>184.4</v>
      </c>
      <c r="E397">
        <v>6</v>
      </c>
      <c r="F397" t="s">
        <v>17</v>
      </c>
      <c r="G397" t="s">
        <v>24</v>
      </c>
      <c r="H397" t="s">
        <v>48</v>
      </c>
      <c r="I397" t="s">
        <v>25</v>
      </c>
      <c r="J397">
        <v>0</v>
      </c>
      <c r="K397">
        <v>0</v>
      </c>
      <c r="L397">
        <v>26</v>
      </c>
      <c r="M397">
        <v>2</v>
      </c>
      <c r="N397">
        <v>0</v>
      </c>
      <c r="O397" t="s">
        <v>21</v>
      </c>
      <c r="P397" t="str" cm="1">
        <f t="array" ref="P3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8" spans="1:16">
      <c r="A398">
        <v>7065</v>
      </c>
      <c r="B398" t="s">
        <v>72</v>
      </c>
      <c r="C398" t="s">
        <v>16</v>
      </c>
      <c r="D398">
        <v>25.28</v>
      </c>
      <c r="E398">
        <v>1</v>
      </c>
      <c r="F398" t="s">
        <v>17</v>
      </c>
      <c r="G398" t="s">
        <v>24</v>
      </c>
      <c r="H398" t="s">
        <v>19</v>
      </c>
      <c r="I398" t="s">
        <v>20</v>
      </c>
      <c r="J398">
        <v>0</v>
      </c>
      <c r="K398">
        <v>0</v>
      </c>
      <c r="L398">
        <v>92</v>
      </c>
      <c r="M398">
        <v>2</v>
      </c>
      <c r="N398">
        <v>0</v>
      </c>
      <c r="O398" t="s">
        <v>21</v>
      </c>
      <c r="P398" t="str" cm="1">
        <f t="array" ref="P3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399" spans="1:16">
      <c r="A399">
        <v>7858</v>
      </c>
      <c r="B399" t="s">
        <v>45</v>
      </c>
      <c r="C399" t="s">
        <v>28</v>
      </c>
      <c r="D399">
        <v>47.36</v>
      </c>
      <c r="E399">
        <v>1</v>
      </c>
      <c r="F399" t="s">
        <v>29</v>
      </c>
      <c r="G399" t="s">
        <v>24</v>
      </c>
      <c r="H399" t="s">
        <v>35</v>
      </c>
      <c r="I399" t="s">
        <v>20</v>
      </c>
      <c r="J399">
        <v>0</v>
      </c>
      <c r="K399">
        <v>0</v>
      </c>
      <c r="L399">
        <v>45</v>
      </c>
      <c r="M399">
        <v>2</v>
      </c>
      <c r="N399">
        <v>0</v>
      </c>
      <c r="O399" t="s">
        <v>21</v>
      </c>
      <c r="P399" t="str" cm="1">
        <f t="array" ref="P3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0" spans="1:16">
      <c r="A400">
        <v>3522</v>
      </c>
      <c r="B400" t="s">
        <v>32</v>
      </c>
      <c r="C400" t="s">
        <v>33</v>
      </c>
      <c r="D400">
        <v>113.98</v>
      </c>
      <c r="E400">
        <v>11</v>
      </c>
      <c r="F400" t="s">
        <v>50</v>
      </c>
      <c r="G400" t="s">
        <v>18</v>
      </c>
      <c r="H400" t="s">
        <v>35</v>
      </c>
      <c r="I400" t="s">
        <v>26</v>
      </c>
      <c r="J400">
        <v>0</v>
      </c>
      <c r="K400">
        <v>0</v>
      </c>
      <c r="L400">
        <v>54</v>
      </c>
      <c r="M400">
        <v>2</v>
      </c>
      <c r="N400">
        <v>0</v>
      </c>
      <c r="O400" t="s">
        <v>21</v>
      </c>
      <c r="P400" t="str" cm="1">
        <f t="array" ref="P4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1" spans="1:16">
      <c r="A401">
        <v>9332</v>
      </c>
      <c r="B401" t="s">
        <v>45</v>
      </c>
      <c r="C401" t="s">
        <v>28</v>
      </c>
      <c r="D401">
        <v>261.27</v>
      </c>
      <c r="E401">
        <v>13</v>
      </c>
      <c r="F401" t="s">
        <v>19</v>
      </c>
      <c r="G401" t="s">
        <v>18</v>
      </c>
      <c r="H401" t="s">
        <v>30</v>
      </c>
      <c r="I401" t="s">
        <v>20</v>
      </c>
      <c r="J401">
        <v>0</v>
      </c>
      <c r="K401">
        <v>1</v>
      </c>
      <c r="L401">
        <v>65</v>
      </c>
      <c r="M401">
        <v>1</v>
      </c>
      <c r="N401">
        <v>0</v>
      </c>
      <c r="O401" t="s">
        <v>21</v>
      </c>
      <c r="P401" t="str" cm="1">
        <f t="array" ref="P4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2" spans="1:16">
      <c r="A402">
        <v>6171</v>
      </c>
      <c r="B402" t="s">
        <v>60</v>
      </c>
      <c r="C402" t="s">
        <v>23</v>
      </c>
      <c r="D402">
        <v>9.77</v>
      </c>
      <c r="E402">
        <v>18</v>
      </c>
      <c r="F402" t="s">
        <v>34</v>
      </c>
      <c r="G402" t="s">
        <v>53</v>
      </c>
      <c r="H402" t="s">
        <v>41</v>
      </c>
      <c r="I402" t="s">
        <v>20</v>
      </c>
      <c r="J402">
        <v>0</v>
      </c>
      <c r="K402">
        <v>0</v>
      </c>
      <c r="L402">
        <v>25</v>
      </c>
      <c r="M402">
        <v>2</v>
      </c>
      <c r="N402">
        <v>0</v>
      </c>
      <c r="O402" t="s">
        <v>21</v>
      </c>
      <c r="P402" t="str" cm="1">
        <f t="array" ref="P4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3" spans="1:16">
      <c r="A403">
        <v>6472</v>
      </c>
      <c r="B403" t="s">
        <v>63</v>
      </c>
      <c r="C403" t="s">
        <v>28</v>
      </c>
      <c r="D403">
        <v>312.60000000000002</v>
      </c>
      <c r="E403">
        <v>14</v>
      </c>
      <c r="F403" t="s">
        <v>29</v>
      </c>
      <c r="G403" t="s">
        <v>44</v>
      </c>
      <c r="H403" t="s">
        <v>48</v>
      </c>
      <c r="I403" t="s">
        <v>20</v>
      </c>
      <c r="J403">
        <v>0</v>
      </c>
      <c r="K403">
        <v>0</v>
      </c>
      <c r="L403">
        <v>58</v>
      </c>
      <c r="M403">
        <v>2</v>
      </c>
      <c r="N403">
        <v>0</v>
      </c>
      <c r="O403" t="s">
        <v>21</v>
      </c>
      <c r="P403" t="str" cm="1">
        <f t="array" ref="P4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4" spans="1:16">
      <c r="A404">
        <v>3956</v>
      </c>
      <c r="B404" t="s">
        <v>32</v>
      </c>
      <c r="C404" t="s">
        <v>33</v>
      </c>
      <c r="D404">
        <v>365.05</v>
      </c>
      <c r="E404">
        <v>3</v>
      </c>
      <c r="F404" t="s">
        <v>17</v>
      </c>
      <c r="G404" t="s">
        <v>44</v>
      </c>
      <c r="H404" t="s">
        <v>25</v>
      </c>
      <c r="I404" t="s">
        <v>31</v>
      </c>
      <c r="J404">
        <v>0</v>
      </c>
      <c r="K404">
        <v>1</v>
      </c>
      <c r="L404">
        <v>28</v>
      </c>
      <c r="M404">
        <v>3</v>
      </c>
      <c r="N404">
        <v>1</v>
      </c>
      <c r="O404" t="s">
        <v>36</v>
      </c>
      <c r="P404" t="str" cm="1">
        <f t="array" ref="P4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5" spans="1:16">
      <c r="A405">
        <v>5034</v>
      </c>
      <c r="B405" t="s">
        <v>60</v>
      </c>
      <c r="C405" t="s">
        <v>23</v>
      </c>
      <c r="D405">
        <v>165.19</v>
      </c>
      <c r="E405">
        <v>9</v>
      </c>
      <c r="F405" t="s">
        <v>50</v>
      </c>
      <c r="G405" t="s">
        <v>18</v>
      </c>
      <c r="H405" t="s">
        <v>41</v>
      </c>
      <c r="I405" t="s">
        <v>20</v>
      </c>
      <c r="J405">
        <v>0</v>
      </c>
      <c r="K405">
        <v>0</v>
      </c>
      <c r="L405">
        <v>28</v>
      </c>
      <c r="M405">
        <v>5</v>
      </c>
      <c r="N405">
        <v>0</v>
      </c>
      <c r="O405" t="s">
        <v>21</v>
      </c>
      <c r="P405" t="str" cm="1">
        <f t="array" ref="P4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6" spans="1:16">
      <c r="A406">
        <v>2706</v>
      </c>
      <c r="B406" t="s">
        <v>46</v>
      </c>
      <c r="C406" t="s">
        <v>23</v>
      </c>
      <c r="D406">
        <v>296.26</v>
      </c>
      <c r="E406">
        <v>14</v>
      </c>
      <c r="F406" t="s">
        <v>50</v>
      </c>
      <c r="G406" t="s">
        <v>38</v>
      </c>
      <c r="H406" t="s">
        <v>30</v>
      </c>
      <c r="I406" t="s">
        <v>20</v>
      </c>
      <c r="J406">
        <v>0</v>
      </c>
      <c r="K406">
        <v>0</v>
      </c>
      <c r="L406">
        <v>99</v>
      </c>
      <c r="M406">
        <v>3</v>
      </c>
      <c r="N406">
        <v>0</v>
      </c>
      <c r="O406" t="s">
        <v>21</v>
      </c>
      <c r="P406" t="str" cm="1">
        <f t="array" ref="P4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7" spans="1:16">
      <c r="A407">
        <v>8128</v>
      </c>
      <c r="B407" t="s">
        <v>47</v>
      </c>
      <c r="C407" t="s">
        <v>16</v>
      </c>
      <c r="D407">
        <v>488.21</v>
      </c>
      <c r="E407">
        <v>1</v>
      </c>
      <c r="F407" t="s">
        <v>17</v>
      </c>
      <c r="G407" t="s">
        <v>44</v>
      </c>
      <c r="H407" t="s">
        <v>25</v>
      </c>
      <c r="I407" t="s">
        <v>20</v>
      </c>
      <c r="J407">
        <v>0</v>
      </c>
      <c r="K407">
        <v>1</v>
      </c>
      <c r="L407">
        <v>25</v>
      </c>
      <c r="M407">
        <v>1</v>
      </c>
      <c r="N407">
        <v>1</v>
      </c>
      <c r="O407" t="s">
        <v>36</v>
      </c>
      <c r="P407" t="str" cm="1">
        <f t="array" ref="P4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8" spans="1:16">
      <c r="A408">
        <v>7070</v>
      </c>
      <c r="B408" t="s">
        <v>39</v>
      </c>
      <c r="C408" t="s">
        <v>28</v>
      </c>
      <c r="D408">
        <v>36.36</v>
      </c>
      <c r="E408">
        <v>14</v>
      </c>
      <c r="F408" t="s">
        <v>34</v>
      </c>
      <c r="G408" t="s">
        <v>53</v>
      </c>
      <c r="H408" t="s">
        <v>35</v>
      </c>
      <c r="I408" t="s">
        <v>20</v>
      </c>
      <c r="J408">
        <v>0</v>
      </c>
      <c r="K408">
        <v>0</v>
      </c>
      <c r="L408">
        <v>88</v>
      </c>
      <c r="M408">
        <v>1</v>
      </c>
      <c r="N408">
        <v>0</v>
      </c>
      <c r="O408" t="s">
        <v>21</v>
      </c>
      <c r="P408" t="str" cm="1">
        <f t="array" ref="P4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09" spans="1:16">
      <c r="A409">
        <v>3090</v>
      </c>
      <c r="B409" t="s">
        <v>49</v>
      </c>
      <c r="C409" t="s">
        <v>16</v>
      </c>
      <c r="D409">
        <v>52.53</v>
      </c>
      <c r="E409">
        <v>13</v>
      </c>
      <c r="F409" t="s">
        <v>29</v>
      </c>
      <c r="G409" t="s">
        <v>24</v>
      </c>
      <c r="H409" t="s">
        <v>48</v>
      </c>
      <c r="I409" t="s">
        <v>20</v>
      </c>
      <c r="J409">
        <v>0</v>
      </c>
      <c r="K409">
        <v>0</v>
      </c>
      <c r="L409">
        <v>72</v>
      </c>
      <c r="M409">
        <v>2</v>
      </c>
      <c r="N409">
        <v>0</v>
      </c>
      <c r="O409" t="s">
        <v>21</v>
      </c>
      <c r="P409" t="str" cm="1">
        <f t="array" ref="P4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0" spans="1:16">
      <c r="A410">
        <v>7162</v>
      </c>
      <c r="B410" t="s">
        <v>63</v>
      </c>
      <c r="C410" t="s">
        <v>28</v>
      </c>
      <c r="D410">
        <v>95.26</v>
      </c>
      <c r="E410">
        <v>6</v>
      </c>
      <c r="F410" t="s">
        <v>19</v>
      </c>
      <c r="G410" t="s">
        <v>24</v>
      </c>
      <c r="H410" t="s">
        <v>35</v>
      </c>
      <c r="I410" t="s">
        <v>31</v>
      </c>
      <c r="J410">
        <v>0</v>
      </c>
      <c r="K410">
        <v>0</v>
      </c>
      <c r="L410">
        <v>53</v>
      </c>
      <c r="M410">
        <v>1</v>
      </c>
      <c r="N410">
        <v>0</v>
      </c>
      <c r="O410" t="s">
        <v>21</v>
      </c>
      <c r="P410" t="str" cm="1">
        <f t="array" ref="P4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1" spans="1:16">
      <c r="A411">
        <v>1303</v>
      </c>
      <c r="B411" t="s">
        <v>56</v>
      </c>
      <c r="C411" t="s">
        <v>52</v>
      </c>
      <c r="D411">
        <v>9.61</v>
      </c>
      <c r="E411">
        <v>4</v>
      </c>
      <c r="F411" t="s">
        <v>34</v>
      </c>
      <c r="G411" t="s">
        <v>24</v>
      </c>
      <c r="H411" t="s">
        <v>25</v>
      </c>
      <c r="I411" t="s">
        <v>26</v>
      </c>
      <c r="J411">
        <v>0</v>
      </c>
      <c r="K411">
        <v>0</v>
      </c>
      <c r="L411">
        <v>94</v>
      </c>
      <c r="M411">
        <v>2</v>
      </c>
      <c r="N411">
        <v>0</v>
      </c>
      <c r="O411" t="s">
        <v>21</v>
      </c>
      <c r="P411" t="str" cm="1">
        <f t="array" ref="P4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2" spans="1:16">
      <c r="A412">
        <v>950</v>
      </c>
      <c r="B412" t="s">
        <v>57</v>
      </c>
      <c r="C412" t="s">
        <v>43</v>
      </c>
      <c r="D412">
        <v>163.77000000000001</v>
      </c>
      <c r="E412">
        <v>6</v>
      </c>
      <c r="F412" t="s">
        <v>17</v>
      </c>
      <c r="G412" t="s">
        <v>38</v>
      </c>
      <c r="H412" t="s">
        <v>25</v>
      </c>
      <c r="I412" t="s">
        <v>26</v>
      </c>
      <c r="J412">
        <v>1</v>
      </c>
      <c r="K412">
        <v>0</v>
      </c>
      <c r="L412">
        <v>66</v>
      </c>
      <c r="M412">
        <v>2</v>
      </c>
      <c r="N412">
        <v>0</v>
      </c>
      <c r="O412" t="s">
        <v>21</v>
      </c>
      <c r="P412" t="str" cm="1">
        <f t="array" ref="P4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3" spans="1:16">
      <c r="A413">
        <v>2505</v>
      </c>
      <c r="B413" t="s">
        <v>73</v>
      </c>
      <c r="C413" t="s">
        <v>43</v>
      </c>
      <c r="D413">
        <v>40.270000000000003</v>
      </c>
      <c r="E413">
        <v>13</v>
      </c>
      <c r="F413" t="s">
        <v>50</v>
      </c>
      <c r="G413" t="s">
        <v>18</v>
      </c>
      <c r="H413" t="s">
        <v>41</v>
      </c>
      <c r="I413" t="s">
        <v>20</v>
      </c>
      <c r="J413">
        <v>1</v>
      </c>
      <c r="K413">
        <v>1</v>
      </c>
      <c r="L413">
        <v>31</v>
      </c>
      <c r="M413">
        <v>1</v>
      </c>
      <c r="N413">
        <v>1</v>
      </c>
      <c r="O413" t="s">
        <v>36</v>
      </c>
      <c r="P413" t="str" cm="1">
        <f t="array" ref="P4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4" spans="1:16">
      <c r="A414">
        <v>9680</v>
      </c>
      <c r="B414" t="s">
        <v>56</v>
      </c>
      <c r="C414" t="s">
        <v>52</v>
      </c>
      <c r="D414">
        <v>71.8</v>
      </c>
      <c r="E414">
        <v>9</v>
      </c>
      <c r="F414" t="s">
        <v>50</v>
      </c>
      <c r="G414" t="s">
        <v>44</v>
      </c>
      <c r="H414" t="s">
        <v>48</v>
      </c>
      <c r="I414" t="s">
        <v>20</v>
      </c>
      <c r="J414">
        <v>0</v>
      </c>
      <c r="K414">
        <v>0</v>
      </c>
      <c r="L414">
        <v>33</v>
      </c>
      <c r="M414">
        <v>2</v>
      </c>
      <c r="N414">
        <v>0</v>
      </c>
      <c r="O414" t="s">
        <v>21</v>
      </c>
      <c r="P414" t="str" cm="1">
        <f t="array" ref="P4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5" spans="1:16">
      <c r="A415">
        <v>396</v>
      </c>
      <c r="B415" t="s">
        <v>39</v>
      </c>
      <c r="C415" t="s">
        <v>28</v>
      </c>
      <c r="D415">
        <v>480.62</v>
      </c>
      <c r="E415">
        <v>0</v>
      </c>
      <c r="F415" t="s">
        <v>19</v>
      </c>
      <c r="G415" t="s">
        <v>24</v>
      </c>
      <c r="H415" t="s">
        <v>25</v>
      </c>
      <c r="I415" t="s">
        <v>25</v>
      </c>
      <c r="J415">
        <v>0</v>
      </c>
      <c r="K415">
        <v>0</v>
      </c>
      <c r="L415">
        <v>35</v>
      </c>
      <c r="M415">
        <v>3</v>
      </c>
      <c r="N415">
        <v>0</v>
      </c>
      <c r="O415" t="s">
        <v>21</v>
      </c>
      <c r="P415" t="str" cm="1">
        <f t="array" ref="P4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6" spans="1:16">
      <c r="A416">
        <v>7323</v>
      </c>
      <c r="B416" t="s">
        <v>32</v>
      </c>
      <c r="C416" t="s">
        <v>33</v>
      </c>
      <c r="D416">
        <v>118.52</v>
      </c>
      <c r="E416">
        <v>23</v>
      </c>
      <c r="F416" t="s">
        <v>29</v>
      </c>
      <c r="G416" t="s">
        <v>18</v>
      </c>
      <c r="H416" t="s">
        <v>19</v>
      </c>
      <c r="I416" t="s">
        <v>26</v>
      </c>
      <c r="J416">
        <v>0</v>
      </c>
      <c r="K416">
        <v>0</v>
      </c>
      <c r="L416">
        <v>56</v>
      </c>
      <c r="M416">
        <v>2</v>
      </c>
      <c r="N416">
        <v>0</v>
      </c>
      <c r="O416" t="s">
        <v>21</v>
      </c>
      <c r="P416" t="str" cm="1">
        <f t="array" ref="P4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7" spans="1:16">
      <c r="A417">
        <v>539</v>
      </c>
      <c r="B417" t="s">
        <v>66</v>
      </c>
      <c r="C417" t="s">
        <v>43</v>
      </c>
      <c r="D417">
        <v>107.79</v>
      </c>
      <c r="E417">
        <v>3</v>
      </c>
      <c r="F417" t="s">
        <v>17</v>
      </c>
      <c r="G417" t="s">
        <v>44</v>
      </c>
      <c r="H417" t="s">
        <v>41</v>
      </c>
      <c r="I417" t="s">
        <v>20</v>
      </c>
      <c r="J417">
        <v>0</v>
      </c>
      <c r="K417">
        <v>0</v>
      </c>
      <c r="L417">
        <v>38</v>
      </c>
      <c r="M417">
        <v>5</v>
      </c>
      <c r="N417">
        <v>1</v>
      </c>
      <c r="O417" t="s">
        <v>36</v>
      </c>
      <c r="P417" t="str" cm="1">
        <f t="array" ref="P4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8" spans="1:16">
      <c r="A418">
        <v>7054</v>
      </c>
      <c r="B418" t="s">
        <v>27</v>
      </c>
      <c r="C418" t="s">
        <v>28</v>
      </c>
      <c r="D418">
        <v>119.03</v>
      </c>
      <c r="E418">
        <v>12</v>
      </c>
      <c r="F418" t="s">
        <v>17</v>
      </c>
      <c r="G418" t="s">
        <v>24</v>
      </c>
      <c r="H418" t="s">
        <v>35</v>
      </c>
      <c r="I418" t="s">
        <v>20</v>
      </c>
      <c r="J418">
        <v>0</v>
      </c>
      <c r="K418">
        <v>0</v>
      </c>
      <c r="L418">
        <v>92</v>
      </c>
      <c r="M418">
        <v>3</v>
      </c>
      <c r="N418">
        <v>0</v>
      </c>
      <c r="O418" t="s">
        <v>21</v>
      </c>
      <c r="P418" t="str" cm="1">
        <f t="array" ref="P4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19" spans="1:16">
      <c r="A419">
        <v>745</v>
      </c>
      <c r="B419" t="s">
        <v>45</v>
      </c>
      <c r="C419" t="s">
        <v>28</v>
      </c>
      <c r="D419">
        <v>47.56</v>
      </c>
      <c r="E419">
        <v>10</v>
      </c>
      <c r="F419" t="s">
        <v>17</v>
      </c>
      <c r="G419" t="s">
        <v>24</v>
      </c>
      <c r="H419" t="s">
        <v>48</v>
      </c>
      <c r="I419" t="s">
        <v>31</v>
      </c>
      <c r="J419">
        <v>0</v>
      </c>
      <c r="K419">
        <v>0</v>
      </c>
      <c r="L419">
        <v>62</v>
      </c>
      <c r="M419">
        <v>6</v>
      </c>
      <c r="N419">
        <v>0</v>
      </c>
      <c r="O419" t="s">
        <v>21</v>
      </c>
      <c r="P419" t="str" cm="1">
        <f t="array" ref="P4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0" spans="1:16">
      <c r="A420">
        <v>3077</v>
      </c>
      <c r="B420" t="s">
        <v>37</v>
      </c>
      <c r="C420" t="s">
        <v>16</v>
      </c>
      <c r="D420">
        <v>527.84</v>
      </c>
      <c r="E420">
        <v>2</v>
      </c>
      <c r="F420" t="s">
        <v>50</v>
      </c>
      <c r="G420" t="s">
        <v>38</v>
      </c>
      <c r="H420" t="s">
        <v>48</v>
      </c>
      <c r="I420" t="s">
        <v>20</v>
      </c>
      <c r="J420">
        <v>1</v>
      </c>
      <c r="K420">
        <v>0</v>
      </c>
      <c r="L420">
        <v>30</v>
      </c>
      <c r="M420">
        <v>0</v>
      </c>
      <c r="N420">
        <v>1</v>
      </c>
      <c r="O420" t="s">
        <v>36</v>
      </c>
      <c r="P420" t="str" cm="1">
        <f t="array" ref="P420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421" spans="1:16">
      <c r="A421">
        <v>2407</v>
      </c>
      <c r="B421" t="s">
        <v>15</v>
      </c>
      <c r="C421" t="s">
        <v>16</v>
      </c>
      <c r="D421">
        <v>81.63</v>
      </c>
      <c r="E421">
        <v>14</v>
      </c>
      <c r="F421" t="s">
        <v>34</v>
      </c>
      <c r="G421" t="s">
        <v>24</v>
      </c>
      <c r="H421" t="s">
        <v>48</v>
      </c>
      <c r="I421" t="s">
        <v>20</v>
      </c>
      <c r="J421">
        <v>0</v>
      </c>
      <c r="K421">
        <v>0</v>
      </c>
      <c r="L421">
        <v>89</v>
      </c>
      <c r="M421">
        <v>2</v>
      </c>
      <c r="N421">
        <v>0</v>
      </c>
      <c r="O421" t="s">
        <v>21</v>
      </c>
      <c r="P421" t="str" cm="1">
        <f t="array" ref="P4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2" spans="1:16">
      <c r="A422">
        <v>8203</v>
      </c>
      <c r="B422" t="s">
        <v>49</v>
      </c>
      <c r="C422" t="s">
        <v>16</v>
      </c>
      <c r="D422">
        <v>497.49</v>
      </c>
      <c r="E422">
        <v>23</v>
      </c>
      <c r="F422" t="s">
        <v>34</v>
      </c>
      <c r="G422" t="s">
        <v>24</v>
      </c>
      <c r="H422" t="s">
        <v>25</v>
      </c>
      <c r="I422" t="s">
        <v>25</v>
      </c>
      <c r="J422">
        <v>0</v>
      </c>
      <c r="K422">
        <v>0</v>
      </c>
      <c r="L422">
        <v>62</v>
      </c>
      <c r="M422">
        <v>3</v>
      </c>
      <c r="N422">
        <v>0</v>
      </c>
      <c r="O422" t="s">
        <v>21</v>
      </c>
      <c r="P422" t="str" cm="1">
        <f t="array" ref="P4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3" spans="1:16">
      <c r="A423">
        <v>9206</v>
      </c>
      <c r="B423" t="s">
        <v>27</v>
      </c>
      <c r="C423" t="s">
        <v>28</v>
      </c>
      <c r="D423">
        <v>14.24</v>
      </c>
      <c r="E423">
        <v>18</v>
      </c>
      <c r="F423" t="s">
        <v>19</v>
      </c>
      <c r="G423" t="s">
        <v>44</v>
      </c>
      <c r="H423" t="s">
        <v>48</v>
      </c>
      <c r="I423" t="s">
        <v>26</v>
      </c>
      <c r="J423">
        <v>0</v>
      </c>
      <c r="K423">
        <v>0</v>
      </c>
      <c r="L423">
        <v>56</v>
      </c>
      <c r="M423">
        <v>4</v>
      </c>
      <c r="N423">
        <v>0</v>
      </c>
      <c r="O423" t="s">
        <v>21</v>
      </c>
      <c r="P423" t="str" cm="1">
        <f t="array" ref="P4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4" spans="1:16">
      <c r="A424">
        <v>313</v>
      </c>
      <c r="B424" t="s">
        <v>15</v>
      </c>
      <c r="C424" t="s">
        <v>16</v>
      </c>
      <c r="D424">
        <v>4.62</v>
      </c>
      <c r="E424">
        <v>18</v>
      </c>
      <c r="F424" t="s">
        <v>29</v>
      </c>
      <c r="G424" t="s">
        <v>44</v>
      </c>
      <c r="H424" t="s">
        <v>35</v>
      </c>
      <c r="I424" t="s">
        <v>26</v>
      </c>
      <c r="J424">
        <v>0</v>
      </c>
      <c r="K424">
        <v>0</v>
      </c>
      <c r="L424">
        <v>82</v>
      </c>
      <c r="M424">
        <v>4</v>
      </c>
      <c r="N424">
        <v>0</v>
      </c>
      <c r="O424" t="s">
        <v>21</v>
      </c>
      <c r="P424" t="str" cm="1">
        <f t="array" ref="P4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5" spans="1:16">
      <c r="A425">
        <v>4112</v>
      </c>
      <c r="B425" t="s">
        <v>60</v>
      </c>
      <c r="C425" t="s">
        <v>23</v>
      </c>
      <c r="D425">
        <v>124.87</v>
      </c>
      <c r="E425">
        <v>23</v>
      </c>
      <c r="F425" t="s">
        <v>50</v>
      </c>
      <c r="G425" t="s">
        <v>24</v>
      </c>
      <c r="H425" t="s">
        <v>35</v>
      </c>
      <c r="I425" t="s">
        <v>26</v>
      </c>
      <c r="J425">
        <v>0</v>
      </c>
      <c r="K425">
        <v>0</v>
      </c>
      <c r="L425">
        <v>90</v>
      </c>
      <c r="M425">
        <v>2</v>
      </c>
      <c r="N425">
        <v>0</v>
      </c>
      <c r="O425" t="s">
        <v>21</v>
      </c>
      <c r="P425" t="str" cm="1">
        <f t="array" ref="P4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6" spans="1:16">
      <c r="A426">
        <v>1312</v>
      </c>
      <c r="B426" t="s">
        <v>59</v>
      </c>
      <c r="C426" t="s">
        <v>16</v>
      </c>
      <c r="D426">
        <v>405.37</v>
      </c>
      <c r="E426">
        <v>16</v>
      </c>
      <c r="F426" t="s">
        <v>34</v>
      </c>
      <c r="G426" t="s">
        <v>44</v>
      </c>
      <c r="H426" t="s">
        <v>48</v>
      </c>
      <c r="I426" t="s">
        <v>20</v>
      </c>
      <c r="J426">
        <v>1</v>
      </c>
      <c r="K426">
        <v>0</v>
      </c>
      <c r="L426">
        <v>49</v>
      </c>
      <c r="M426">
        <v>1</v>
      </c>
      <c r="N426">
        <v>0</v>
      </c>
      <c r="O426" t="s">
        <v>21</v>
      </c>
      <c r="P426" t="str" cm="1">
        <f t="array" ref="P4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7" spans="1:16">
      <c r="A427">
        <v>7930</v>
      </c>
      <c r="B427" t="s">
        <v>60</v>
      </c>
      <c r="C427" t="s">
        <v>23</v>
      </c>
      <c r="D427">
        <v>33.29</v>
      </c>
      <c r="E427">
        <v>14</v>
      </c>
      <c r="F427" t="s">
        <v>19</v>
      </c>
      <c r="G427" t="s">
        <v>44</v>
      </c>
      <c r="H427" t="s">
        <v>48</v>
      </c>
      <c r="I427" t="s">
        <v>20</v>
      </c>
      <c r="J427">
        <v>0</v>
      </c>
      <c r="K427">
        <v>1</v>
      </c>
      <c r="L427">
        <v>89</v>
      </c>
      <c r="M427">
        <v>1</v>
      </c>
      <c r="N427">
        <v>0</v>
      </c>
      <c r="O427" t="s">
        <v>21</v>
      </c>
      <c r="P427" t="str" cm="1">
        <f t="array" ref="P42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8" spans="1:16">
      <c r="A428">
        <v>4597</v>
      </c>
      <c r="B428" t="s">
        <v>15</v>
      </c>
      <c r="C428" t="s">
        <v>16</v>
      </c>
      <c r="D428">
        <v>246.12</v>
      </c>
      <c r="E428">
        <v>14</v>
      </c>
      <c r="F428" t="s">
        <v>34</v>
      </c>
      <c r="G428" t="s">
        <v>18</v>
      </c>
      <c r="H428" t="s">
        <v>35</v>
      </c>
      <c r="I428" t="s">
        <v>31</v>
      </c>
      <c r="J428">
        <v>0</v>
      </c>
      <c r="K428">
        <v>0</v>
      </c>
      <c r="L428">
        <v>66</v>
      </c>
      <c r="M428">
        <v>4</v>
      </c>
      <c r="N428">
        <v>0</v>
      </c>
      <c r="O428" t="s">
        <v>21</v>
      </c>
      <c r="P428" t="str" cm="1">
        <f t="array" ref="P4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29" spans="1:16">
      <c r="A429">
        <v>7125</v>
      </c>
      <c r="B429" t="s">
        <v>27</v>
      </c>
      <c r="C429" t="s">
        <v>28</v>
      </c>
      <c r="D429">
        <v>94.98</v>
      </c>
      <c r="E429">
        <v>11</v>
      </c>
      <c r="F429" t="s">
        <v>19</v>
      </c>
      <c r="G429" t="s">
        <v>53</v>
      </c>
      <c r="H429" t="s">
        <v>25</v>
      </c>
      <c r="I429" t="s">
        <v>20</v>
      </c>
      <c r="J429">
        <v>0</v>
      </c>
      <c r="K429">
        <v>0</v>
      </c>
      <c r="L429">
        <v>29</v>
      </c>
      <c r="M429">
        <v>1</v>
      </c>
      <c r="N429">
        <v>0</v>
      </c>
      <c r="O429" t="s">
        <v>21</v>
      </c>
      <c r="P429" t="str" cm="1">
        <f t="array" ref="P4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0" spans="1:16">
      <c r="A430">
        <v>5579</v>
      </c>
      <c r="B430" t="s">
        <v>45</v>
      </c>
      <c r="C430" t="s">
        <v>28</v>
      </c>
      <c r="D430">
        <v>437.1</v>
      </c>
      <c r="E430">
        <v>13</v>
      </c>
      <c r="F430" t="s">
        <v>29</v>
      </c>
      <c r="G430" t="s">
        <v>18</v>
      </c>
      <c r="H430" t="s">
        <v>35</v>
      </c>
      <c r="I430" t="s">
        <v>20</v>
      </c>
      <c r="J430">
        <v>0</v>
      </c>
      <c r="K430">
        <v>0</v>
      </c>
      <c r="L430">
        <v>57</v>
      </c>
      <c r="M430">
        <v>0</v>
      </c>
      <c r="N430">
        <v>0</v>
      </c>
      <c r="O430" t="s">
        <v>21</v>
      </c>
      <c r="P430" t="str" cm="1">
        <f t="array" ref="P4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1" spans="1:16">
      <c r="A431">
        <v>814</v>
      </c>
      <c r="B431" t="s">
        <v>39</v>
      </c>
      <c r="C431" t="s">
        <v>28</v>
      </c>
      <c r="D431">
        <v>456.54</v>
      </c>
      <c r="E431">
        <v>20</v>
      </c>
      <c r="F431" t="s">
        <v>17</v>
      </c>
      <c r="G431" t="s">
        <v>44</v>
      </c>
      <c r="H431" t="s">
        <v>35</v>
      </c>
      <c r="I431" t="s">
        <v>31</v>
      </c>
      <c r="J431">
        <v>0</v>
      </c>
      <c r="K431">
        <v>0</v>
      </c>
      <c r="L431">
        <v>97</v>
      </c>
      <c r="M431">
        <v>4</v>
      </c>
      <c r="N431">
        <v>0</v>
      </c>
      <c r="O431" t="s">
        <v>21</v>
      </c>
      <c r="P431" t="str" cm="1">
        <f t="array" ref="P4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2" spans="1:16">
      <c r="A432">
        <v>9710</v>
      </c>
      <c r="B432" t="s">
        <v>49</v>
      </c>
      <c r="C432" t="s">
        <v>16</v>
      </c>
      <c r="D432">
        <v>145.71</v>
      </c>
      <c r="E432">
        <v>17</v>
      </c>
      <c r="F432" t="s">
        <v>17</v>
      </c>
      <c r="G432" t="s">
        <v>24</v>
      </c>
      <c r="H432" t="s">
        <v>48</v>
      </c>
      <c r="I432" t="s">
        <v>20</v>
      </c>
      <c r="J432">
        <v>1</v>
      </c>
      <c r="K432">
        <v>0</v>
      </c>
      <c r="L432">
        <v>50</v>
      </c>
      <c r="M432">
        <v>1</v>
      </c>
      <c r="N432">
        <v>0</v>
      </c>
      <c r="O432" t="s">
        <v>21</v>
      </c>
      <c r="P432" t="str" cm="1">
        <f t="array" ref="P4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3" spans="1:16">
      <c r="A433">
        <v>8270</v>
      </c>
      <c r="B433" t="s">
        <v>27</v>
      </c>
      <c r="C433" t="s">
        <v>28</v>
      </c>
      <c r="D433">
        <v>214.35</v>
      </c>
      <c r="E433">
        <v>5</v>
      </c>
      <c r="F433" t="s">
        <v>17</v>
      </c>
      <c r="G433" t="s">
        <v>24</v>
      </c>
      <c r="H433" t="s">
        <v>41</v>
      </c>
      <c r="I433" t="s">
        <v>31</v>
      </c>
      <c r="J433">
        <v>0</v>
      </c>
      <c r="K433">
        <v>1</v>
      </c>
      <c r="L433">
        <v>97</v>
      </c>
      <c r="M433">
        <v>2</v>
      </c>
      <c r="N433">
        <v>0</v>
      </c>
      <c r="O433" t="s">
        <v>21</v>
      </c>
      <c r="P433" t="str" cm="1">
        <f t="array" ref="P4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4" spans="1:16">
      <c r="A434">
        <v>8307</v>
      </c>
      <c r="B434" t="s">
        <v>47</v>
      </c>
      <c r="C434" t="s">
        <v>16</v>
      </c>
      <c r="D434">
        <v>35.42</v>
      </c>
      <c r="E434">
        <v>12</v>
      </c>
      <c r="F434" t="s">
        <v>17</v>
      </c>
      <c r="G434" t="s">
        <v>44</v>
      </c>
      <c r="H434" t="s">
        <v>35</v>
      </c>
      <c r="I434" t="s">
        <v>20</v>
      </c>
      <c r="J434">
        <v>0</v>
      </c>
      <c r="K434">
        <v>0</v>
      </c>
      <c r="L434">
        <v>98</v>
      </c>
      <c r="M434">
        <v>1</v>
      </c>
      <c r="N434">
        <v>0</v>
      </c>
      <c r="O434" t="s">
        <v>21</v>
      </c>
      <c r="P434" t="str" cm="1">
        <f t="array" ref="P4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5" spans="1:16">
      <c r="A435">
        <v>6757</v>
      </c>
      <c r="B435" t="s">
        <v>56</v>
      </c>
      <c r="C435" t="s">
        <v>52</v>
      </c>
      <c r="D435">
        <v>326.37</v>
      </c>
      <c r="E435">
        <v>14</v>
      </c>
      <c r="F435" t="s">
        <v>29</v>
      </c>
      <c r="G435" t="s">
        <v>38</v>
      </c>
      <c r="H435" t="s">
        <v>35</v>
      </c>
      <c r="I435" t="s">
        <v>31</v>
      </c>
      <c r="J435">
        <v>0</v>
      </c>
      <c r="K435">
        <v>0</v>
      </c>
      <c r="L435">
        <v>43</v>
      </c>
      <c r="M435">
        <v>4</v>
      </c>
      <c r="N435">
        <v>0</v>
      </c>
      <c r="O435" t="s">
        <v>21</v>
      </c>
      <c r="P435" t="str" cm="1">
        <f t="array" ref="P4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6" spans="1:16">
      <c r="A436">
        <v>9375</v>
      </c>
      <c r="B436" t="s">
        <v>45</v>
      </c>
      <c r="C436" t="s">
        <v>28</v>
      </c>
      <c r="D436">
        <v>14.14</v>
      </c>
      <c r="E436">
        <v>9</v>
      </c>
      <c r="F436" t="s">
        <v>19</v>
      </c>
      <c r="G436" t="s">
        <v>53</v>
      </c>
      <c r="H436" t="s">
        <v>30</v>
      </c>
      <c r="I436" t="s">
        <v>20</v>
      </c>
      <c r="J436">
        <v>0</v>
      </c>
      <c r="K436">
        <v>0</v>
      </c>
      <c r="L436">
        <v>59</v>
      </c>
      <c r="M436">
        <v>1</v>
      </c>
      <c r="N436">
        <v>0</v>
      </c>
      <c r="O436" t="s">
        <v>21</v>
      </c>
      <c r="P436" t="str" cm="1">
        <f t="array" ref="P4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7" spans="1:16">
      <c r="A437">
        <v>2838</v>
      </c>
      <c r="B437" t="s">
        <v>22</v>
      </c>
      <c r="C437" t="s">
        <v>23</v>
      </c>
      <c r="D437">
        <v>8.27</v>
      </c>
      <c r="E437">
        <v>3</v>
      </c>
      <c r="F437" t="s">
        <v>29</v>
      </c>
      <c r="G437" t="s">
        <v>24</v>
      </c>
      <c r="H437" t="s">
        <v>35</v>
      </c>
      <c r="I437" t="s">
        <v>26</v>
      </c>
      <c r="J437">
        <v>0</v>
      </c>
      <c r="K437">
        <v>0</v>
      </c>
      <c r="L437">
        <v>81</v>
      </c>
      <c r="M437">
        <v>4</v>
      </c>
      <c r="N437">
        <v>0</v>
      </c>
      <c r="O437" t="s">
        <v>21</v>
      </c>
      <c r="P437" t="str" cm="1">
        <f t="array" ref="P4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8" spans="1:16">
      <c r="A438">
        <v>901</v>
      </c>
      <c r="B438" t="s">
        <v>32</v>
      </c>
      <c r="C438" t="s">
        <v>33</v>
      </c>
      <c r="D438">
        <v>41.95</v>
      </c>
      <c r="E438">
        <v>20</v>
      </c>
      <c r="F438" t="s">
        <v>29</v>
      </c>
      <c r="G438" t="s">
        <v>24</v>
      </c>
      <c r="H438" t="s">
        <v>35</v>
      </c>
      <c r="I438" t="s">
        <v>26</v>
      </c>
      <c r="J438">
        <v>0</v>
      </c>
      <c r="K438">
        <v>0</v>
      </c>
      <c r="L438">
        <v>51</v>
      </c>
      <c r="M438">
        <v>4</v>
      </c>
      <c r="N438">
        <v>0</v>
      </c>
      <c r="O438" t="s">
        <v>21</v>
      </c>
      <c r="P438" t="str" cm="1">
        <f t="array" ref="P4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39" spans="1:16">
      <c r="A439">
        <v>7055</v>
      </c>
      <c r="B439" t="s">
        <v>63</v>
      </c>
      <c r="C439" t="s">
        <v>28</v>
      </c>
      <c r="D439">
        <v>121.36</v>
      </c>
      <c r="E439">
        <v>22</v>
      </c>
      <c r="F439" t="s">
        <v>19</v>
      </c>
      <c r="G439" t="s">
        <v>18</v>
      </c>
      <c r="H439" t="s">
        <v>19</v>
      </c>
      <c r="I439" t="s">
        <v>20</v>
      </c>
      <c r="J439">
        <v>0</v>
      </c>
      <c r="K439">
        <v>1</v>
      </c>
      <c r="L439">
        <v>62</v>
      </c>
      <c r="M439">
        <v>2</v>
      </c>
      <c r="N439">
        <v>0</v>
      </c>
      <c r="O439" t="s">
        <v>21</v>
      </c>
      <c r="P439" t="str" cm="1">
        <f t="array" ref="P4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0" spans="1:16">
      <c r="A440">
        <v>9736</v>
      </c>
      <c r="B440" t="s">
        <v>60</v>
      </c>
      <c r="C440" t="s">
        <v>23</v>
      </c>
      <c r="D440">
        <v>167.02</v>
      </c>
      <c r="E440">
        <v>4</v>
      </c>
      <c r="F440" t="s">
        <v>50</v>
      </c>
      <c r="G440" t="s">
        <v>44</v>
      </c>
      <c r="H440" t="s">
        <v>25</v>
      </c>
      <c r="I440" t="s">
        <v>20</v>
      </c>
      <c r="J440">
        <v>0</v>
      </c>
      <c r="K440">
        <v>0</v>
      </c>
      <c r="L440">
        <v>42</v>
      </c>
      <c r="M440">
        <v>3</v>
      </c>
      <c r="N440">
        <v>0</v>
      </c>
      <c r="O440" t="s">
        <v>21</v>
      </c>
      <c r="P440" t="str" cm="1">
        <f t="array" ref="P4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1" spans="1:16">
      <c r="A441">
        <v>8889</v>
      </c>
      <c r="B441" t="s">
        <v>60</v>
      </c>
      <c r="C441" t="s">
        <v>23</v>
      </c>
      <c r="D441">
        <v>67.05</v>
      </c>
      <c r="E441">
        <v>23</v>
      </c>
      <c r="F441" t="s">
        <v>19</v>
      </c>
      <c r="G441" t="s">
        <v>24</v>
      </c>
      <c r="H441" t="s">
        <v>48</v>
      </c>
      <c r="I441" t="s">
        <v>26</v>
      </c>
      <c r="J441">
        <v>0</v>
      </c>
      <c r="K441">
        <v>0</v>
      </c>
      <c r="L441">
        <v>69</v>
      </c>
      <c r="M441">
        <v>3</v>
      </c>
      <c r="N441">
        <v>0</v>
      </c>
      <c r="O441" t="s">
        <v>21</v>
      </c>
      <c r="P441" t="str" cm="1">
        <f t="array" ref="P4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2" spans="1:16">
      <c r="A442">
        <v>9566</v>
      </c>
      <c r="B442" t="s">
        <v>40</v>
      </c>
      <c r="C442" t="s">
        <v>33</v>
      </c>
      <c r="D442">
        <v>74.87</v>
      </c>
      <c r="E442">
        <v>20</v>
      </c>
      <c r="F442" t="s">
        <v>19</v>
      </c>
      <c r="G442" t="s">
        <v>24</v>
      </c>
      <c r="H442" t="s">
        <v>48</v>
      </c>
      <c r="I442" t="s">
        <v>26</v>
      </c>
      <c r="J442">
        <v>0</v>
      </c>
      <c r="K442">
        <v>0</v>
      </c>
      <c r="L442">
        <v>62</v>
      </c>
      <c r="M442">
        <v>4</v>
      </c>
      <c r="N442">
        <v>0</v>
      </c>
      <c r="O442" t="s">
        <v>21</v>
      </c>
      <c r="P442" t="str" cm="1">
        <f t="array" ref="P4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3" spans="1:16">
      <c r="A443">
        <v>8713</v>
      </c>
      <c r="B443" t="s">
        <v>60</v>
      </c>
      <c r="C443" t="s">
        <v>23</v>
      </c>
      <c r="D443">
        <v>196.38</v>
      </c>
      <c r="E443">
        <v>1</v>
      </c>
      <c r="F443" t="s">
        <v>50</v>
      </c>
      <c r="G443" t="s">
        <v>24</v>
      </c>
      <c r="H443" t="s">
        <v>48</v>
      </c>
      <c r="I443" t="s">
        <v>20</v>
      </c>
      <c r="J443">
        <v>0</v>
      </c>
      <c r="K443">
        <v>0</v>
      </c>
      <c r="L443">
        <v>46</v>
      </c>
      <c r="M443">
        <v>2</v>
      </c>
      <c r="N443">
        <v>0</v>
      </c>
      <c r="O443" t="s">
        <v>21</v>
      </c>
      <c r="P443" t="str" cm="1">
        <f t="array" ref="P4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4" spans="1:16">
      <c r="A444">
        <v>7205</v>
      </c>
      <c r="B444" t="s">
        <v>47</v>
      </c>
      <c r="C444" t="s">
        <v>16</v>
      </c>
      <c r="D444">
        <v>489.22</v>
      </c>
      <c r="E444">
        <v>19</v>
      </c>
      <c r="F444" t="s">
        <v>29</v>
      </c>
      <c r="G444" t="s">
        <v>24</v>
      </c>
      <c r="H444" t="s">
        <v>48</v>
      </c>
      <c r="I444" t="s">
        <v>20</v>
      </c>
      <c r="J444">
        <v>0</v>
      </c>
      <c r="K444">
        <v>0</v>
      </c>
      <c r="L444">
        <v>96</v>
      </c>
      <c r="M444">
        <v>3</v>
      </c>
      <c r="N444">
        <v>0</v>
      </c>
      <c r="O444" t="s">
        <v>21</v>
      </c>
      <c r="P444" t="str" cm="1">
        <f t="array" ref="P4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5" spans="1:16">
      <c r="A445">
        <v>7486</v>
      </c>
      <c r="B445" t="s">
        <v>64</v>
      </c>
      <c r="C445" t="s">
        <v>23</v>
      </c>
      <c r="D445">
        <v>204.35</v>
      </c>
      <c r="E445">
        <v>4</v>
      </c>
      <c r="F445" t="s">
        <v>50</v>
      </c>
      <c r="G445" t="s">
        <v>24</v>
      </c>
      <c r="H445" t="s">
        <v>25</v>
      </c>
      <c r="I445" t="s">
        <v>31</v>
      </c>
      <c r="J445">
        <v>0</v>
      </c>
      <c r="K445">
        <v>1</v>
      </c>
      <c r="L445">
        <v>97</v>
      </c>
      <c r="M445">
        <v>0</v>
      </c>
      <c r="N445">
        <v>0</v>
      </c>
      <c r="O445" t="s">
        <v>21</v>
      </c>
      <c r="P445" t="str" cm="1">
        <f t="array" ref="P44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6" spans="1:16">
      <c r="A446">
        <v>7199</v>
      </c>
      <c r="B446" t="s">
        <v>27</v>
      </c>
      <c r="C446" t="s">
        <v>28</v>
      </c>
      <c r="D446">
        <v>485.06</v>
      </c>
      <c r="E446">
        <v>4</v>
      </c>
      <c r="F446" t="s">
        <v>50</v>
      </c>
      <c r="G446" t="s">
        <v>24</v>
      </c>
      <c r="H446" t="s">
        <v>19</v>
      </c>
      <c r="I446" t="s">
        <v>20</v>
      </c>
      <c r="J446">
        <v>0</v>
      </c>
      <c r="K446">
        <v>0</v>
      </c>
      <c r="L446">
        <v>63</v>
      </c>
      <c r="M446">
        <v>2</v>
      </c>
      <c r="N446">
        <v>0</v>
      </c>
      <c r="O446" t="s">
        <v>21</v>
      </c>
      <c r="P446" t="str" cm="1">
        <f t="array" ref="P4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7" spans="1:16">
      <c r="A447">
        <v>7230</v>
      </c>
      <c r="B447" t="s">
        <v>37</v>
      </c>
      <c r="C447" t="s">
        <v>16</v>
      </c>
      <c r="D447">
        <v>99.1</v>
      </c>
      <c r="E447">
        <v>12</v>
      </c>
      <c r="F447" t="s">
        <v>34</v>
      </c>
      <c r="G447" t="s">
        <v>24</v>
      </c>
      <c r="H447" t="s">
        <v>48</v>
      </c>
      <c r="I447" t="s">
        <v>20</v>
      </c>
      <c r="J447">
        <v>0</v>
      </c>
      <c r="K447">
        <v>1</v>
      </c>
      <c r="L447">
        <v>28</v>
      </c>
      <c r="M447">
        <v>1</v>
      </c>
      <c r="N447">
        <v>0</v>
      </c>
      <c r="O447" t="s">
        <v>21</v>
      </c>
      <c r="P447" t="str" cm="1">
        <f t="array" ref="P4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8" spans="1:16">
      <c r="A448">
        <v>1381</v>
      </c>
      <c r="B448" t="s">
        <v>51</v>
      </c>
      <c r="C448" t="s">
        <v>52</v>
      </c>
      <c r="D448">
        <v>32.14</v>
      </c>
      <c r="E448">
        <v>19</v>
      </c>
      <c r="F448" t="s">
        <v>34</v>
      </c>
      <c r="G448" t="s">
        <v>18</v>
      </c>
      <c r="H448" t="s">
        <v>48</v>
      </c>
      <c r="I448" t="s">
        <v>20</v>
      </c>
      <c r="J448">
        <v>0</v>
      </c>
      <c r="K448">
        <v>0</v>
      </c>
      <c r="L448">
        <v>89</v>
      </c>
      <c r="M448">
        <v>4</v>
      </c>
      <c r="N448">
        <v>0</v>
      </c>
      <c r="O448" t="s">
        <v>21</v>
      </c>
      <c r="P448" t="str" cm="1">
        <f t="array" ref="P4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49" spans="1:16">
      <c r="A449">
        <v>6507</v>
      </c>
      <c r="B449" t="s">
        <v>37</v>
      </c>
      <c r="C449" t="s">
        <v>16</v>
      </c>
      <c r="D449">
        <v>265.7</v>
      </c>
      <c r="E449">
        <v>7</v>
      </c>
      <c r="F449" t="s">
        <v>34</v>
      </c>
      <c r="G449" t="s">
        <v>24</v>
      </c>
      <c r="H449" t="s">
        <v>30</v>
      </c>
      <c r="I449" t="s">
        <v>20</v>
      </c>
      <c r="J449">
        <v>0</v>
      </c>
      <c r="K449">
        <v>0</v>
      </c>
      <c r="L449">
        <v>29</v>
      </c>
      <c r="M449">
        <v>1</v>
      </c>
      <c r="N449">
        <v>0</v>
      </c>
      <c r="O449" t="s">
        <v>21</v>
      </c>
      <c r="P449" t="str" cm="1">
        <f t="array" ref="P4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0" spans="1:16">
      <c r="A450">
        <v>9724</v>
      </c>
      <c r="B450" t="s">
        <v>45</v>
      </c>
      <c r="C450" t="s">
        <v>28</v>
      </c>
      <c r="D450">
        <v>239.68</v>
      </c>
      <c r="E450">
        <v>19</v>
      </c>
      <c r="F450" t="s">
        <v>29</v>
      </c>
      <c r="G450" t="s">
        <v>44</v>
      </c>
      <c r="H450" t="s">
        <v>41</v>
      </c>
      <c r="I450" t="s">
        <v>26</v>
      </c>
      <c r="J450">
        <v>0</v>
      </c>
      <c r="K450">
        <v>0</v>
      </c>
      <c r="L450">
        <v>37</v>
      </c>
      <c r="M450">
        <v>0</v>
      </c>
      <c r="N450">
        <v>0</v>
      </c>
      <c r="O450" t="s">
        <v>21</v>
      </c>
      <c r="P450" t="str" cm="1">
        <f t="array" ref="P4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1" spans="1:16">
      <c r="A451">
        <v>974</v>
      </c>
      <c r="B451" t="s">
        <v>61</v>
      </c>
      <c r="C451" t="s">
        <v>28</v>
      </c>
      <c r="D451">
        <v>43.56</v>
      </c>
      <c r="E451">
        <v>8</v>
      </c>
      <c r="F451" t="s">
        <v>29</v>
      </c>
      <c r="G451" t="s">
        <v>18</v>
      </c>
      <c r="H451" t="s">
        <v>48</v>
      </c>
      <c r="I451" t="s">
        <v>25</v>
      </c>
      <c r="J451">
        <v>0</v>
      </c>
      <c r="K451">
        <v>0</v>
      </c>
      <c r="L451">
        <v>38</v>
      </c>
      <c r="M451">
        <v>1</v>
      </c>
      <c r="N451">
        <v>0</v>
      </c>
      <c r="O451" t="s">
        <v>21</v>
      </c>
      <c r="P451" t="str" cm="1">
        <f t="array" ref="P4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2" spans="1:16">
      <c r="A452">
        <v>1646</v>
      </c>
      <c r="B452" t="s">
        <v>60</v>
      </c>
      <c r="C452" t="s">
        <v>23</v>
      </c>
      <c r="D452">
        <v>253.37</v>
      </c>
      <c r="E452">
        <v>7</v>
      </c>
      <c r="F452" t="s">
        <v>34</v>
      </c>
      <c r="G452" t="s">
        <v>53</v>
      </c>
      <c r="H452" t="s">
        <v>35</v>
      </c>
      <c r="I452" t="s">
        <v>20</v>
      </c>
      <c r="J452">
        <v>0</v>
      </c>
      <c r="K452">
        <v>0</v>
      </c>
      <c r="L452">
        <v>70</v>
      </c>
      <c r="M452">
        <v>5</v>
      </c>
      <c r="N452">
        <v>0</v>
      </c>
      <c r="O452" t="s">
        <v>21</v>
      </c>
      <c r="P452" t="str" cm="1">
        <f t="array" ref="P4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3" spans="1:16">
      <c r="A453">
        <v>4617</v>
      </c>
      <c r="B453" t="s">
        <v>37</v>
      </c>
      <c r="C453" t="s">
        <v>16</v>
      </c>
      <c r="D453">
        <v>297.82</v>
      </c>
      <c r="E453">
        <v>12</v>
      </c>
      <c r="F453" t="s">
        <v>19</v>
      </c>
      <c r="G453" t="s">
        <v>24</v>
      </c>
      <c r="H453" t="s">
        <v>35</v>
      </c>
      <c r="I453" t="s">
        <v>20</v>
      </c>
      <c r="J453">
        <v>0</v>
      </c>
      <c r="K453">
        <v>0</v>
      </c>
      <c r="L453">
        <v>51</v>
      </c>
      <c r="M453">
        <v>0</v>
      </c>
      <c r="N453">
        <v>0</v>
      </c>
      <c r="O453" t="s">
        <v>21</v>
      </c>
      <c r="P453" t="str" cm="1">
        <f t="array" ref="P4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4" spans="1:16">
      <c r="A454">
        <v>52</v>
      </c>
      <c r="B454" t="s">
        <v>56</v>
      </c>
      <c r="C454" t="s">
        <v>52</v>
      </c>
      <c r="D454">
        <v>268.60000000000002</v>
      </c>
      <c r="E454">
        <v>0</v>
      </c>
      <c r="F454" t="s">
        <v>50</v>
      </c>
      <c r="G454" t="s">
        <v>53</v>
      </c>
      <c r="H454" t="s">
        <v>25</v>
      </c>
      <c r="I454" t="s">
        <v>20</v>
      </c>
      <c r="J454">
        <v>0</v>
      </c>
      <c r="K454">
        <v>0</v>
      </c>
      <c r="L454">
        <v>85</v>
      </c>
      <c r="M454">
        <v>1</v>
      </c>
      <c r="N454">
        <v>0</v>
      </c>
      <c r="O454" t="s">
        <v>21</v>
      </c>
      <c r="P454" t="str" cm="1">
        <f t="array" ref="P4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5" spans="1:16">
      <c r="A455">
        <v>512</v>
      </c>
      <c r="B455" t="s">
        <v>67</v>
      </c>
      <c r="C455" t="s">
        <v>28</v>
      </c>
      <c r="D455">
        <v>97.51</v>
      </c>
      <c r="E455">
        <v>20</v>
      </c>
      <c r="F455" t="s">
        <v>34</v>
      </c>
      <c r="G455" t="s">
        <v>18</v>
      </c>
      <c r="H455" t="s">
        <v>25</v>
      </c>
      <c r="I455" t="s">
        <v>20</v>
      </c>
      <c r="J455">
        <v>0</v>
      </c>
      <c r="K455">
        <v>0</v>
      </c>
      <c r="L455">
        <v>95</v>
      </c>
      <c r="M455">
        <v>1</v>
      </c>
      <c r="N455">
        <v>0</v>
      </c>
      <c r="O455" t="s">
        <v>21</v>
      </c>
      <c r="P455" t="str" cm="1">
        <f t="array" ref="P4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6" spans="1:16">
      <c r="A456">
        <v>8725</v>
      </c>
      <c r="B456" t="s">
        <v>27</v>
      </c>
      <c r="C456" t="s">
        <v>28</v>
      </c>
      <c r="D456">
        <v>361.42</v>
      </c>
      <c r="E456">
        <v>2</v>
      </c>
      <c r="F456" t="s">
        <v>34</v>
      </c>
      <c r="G456" t="s">
        <v>18</v>
      </c>
      <c r="H456" t="s">
        <v>48</v>
      </c>
      <c r="I456" t="s">
        <v>20</v>
      </c>
      <c r="J456">
        <v>0</v>
      </c>
      <c r="K456">
        <v>0</v>
      </c>
      <c r="L456">
        <v>28</v>
      </c>
      <c r="M456">
        <v>5</v>
      </c>
      <c r="N456">
        <v>1</v>
      </c>
      <c r="O456" t="s">
        <v>36</v>
      </c>
      <c r="P456" t="str" cm="1">
        <f t="array" ref="P4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7" spans="1:16">
      <c r="A457">
        <v>5111</v>
      </c>
      <c r="B457" t="s">
        <v>65</v>
      </c>
      <c r="C457" t="s">
        <v>16</v>
      </c>
      <c r="D457">
        <v>631.63</v>
      </c>
      <c r="E457">
        <v>16</v>
      </c>
      <c r="F457" t="s">
        <v>34</v>
      </c>
      <c r="G457" t="s">
        <v>44</v>
      </c>
      <c r="H457" t="s">
        <v>35</v>
      </c>
      <c r="I457" t="s">
        <v>31</v>
      </c>
      <c r="J457">
        <v>0</v>
      </c>
      <c r="K457">
        <v>0</v>
      </c>
      <c r="L457">
        <v>55</v>
      </c>
      <c r="M457">
        <v>4</v>
      </c>
      <c r="N457">
        <v>0</v>
      </c>
      <c r="O457" t="s">
        <v>21</v>
      </c>
      <c r="P457" t="str" cm="1">
        <f t="array" ref="P45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458" spans="1:16">
      <c r="A458">
        <v>4970</v>
      </c>
      <c r="B458" t="s">
        <v>32</v>
      </c>
      <c r="C458" t="s">
        <v>33</v>
      </c>
      <c r="D458">
        <v>100.27</v>
      </c>
      <c r="E458">
        <v>1</v>
      </c>
      <c r="F458" t="s">
        <v>34</v>
      </c>
      <c r="G458" t="s">
        <v>38</v>
      </c>
      <c r="H458" t="s">
        <v>30</v>
      </c>
      <c r="I458" t="s">
        <v>20</v>
      </c>
      <c r="J458">
        <v>0</v>
      </c>
      <c r="K458">
        <v>1</v>
      </c>
      <c r="L458">
        <v>47</v>
      </c>
      <c r="M458">
        <v>5</v>
      </c>
      <c r="N458">
        <v>1</v>
      </c>
      <c r="O458" t="s">
        <v>36</v>
      </c>
      <c r="P458" t="str" cm="1">
        <f t="array" ref="P4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59" spans="1:16">
      <c r="A459">
        <v>4284</v>
      </c>
      <c r="B459" t="s">
        <v>60</v>
      </c>
      <c r="C459" t="s">
        <v>23</v>
      </c>
      <c r="D459">
        <v>10.86</v>
      </c>
      <c r="E459">
        <v>17</v>
      </c>
      <c r="F459" t="s">
        <v>29</v>
      </c>
      <c r="G459" t="s">
        <v>18</v>
      </c>
      <c r="H459" t="s">
        <v>41</v>
      </c>
      <c r="I459" t="s">
        <v>20</v>
      </c>
      <c r="J459">
        <v>0</v>
      </c>
      <c r="K459">
        <v>1</v>
      </c>
      <c r="L459">
        <v>36</v>
      </c>
      <c r="M459">
        <v>2</v>
      </c>
      <c r="N459">
        <v>0</v>
      </c>
      <c r="O459" t="s">
        <v>21</v>
      </c>
      <c r="P459" t="str" cm="1">
        <f t="array" ref="P4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0" spans="1:16">
      <c r="A460">
        <v>6314</v>
      </c>
      <c r="B460" t="s">
        <v>27</v>
      </c>
      <c r="C460" t="s">
        <v>28</v>
      </c>
      <c r="D460">
        <v>56.51</v>
      </c>
      <c r="E460">
        <v>3</v>
      </c>
      <c r="F460" t="s">
        <v>34</v>
      </c>
      <c r="G460" t="s">
        <v>44</v>
      </c>
      <c r="H460" t="s">
        <v>25</v>
      </c>
      <c r="I460" t="s">
        <v>20</v>
      </c>
      <c r="J460">
        <v>0</v>
      </c>
      <c r="K460">
        <v>0</v>
      </c>
      <c r="L460">
        <v>53</v>
      </c>
      <c r="M460">
        <v>3</v>
      </c>
      <c r="N460">
        <v>0</v>
      </c>
      <c r="O460" t="s">
        <v>21</v>
      </c>
      <c r="P460" t="str" cm="1">
        <f t="array" ref="P4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1" spans="1:16">
      <c r="A461">
        <v>5286</v>
      </c>
      <c r="B461" t="s">
        <v>59</v>
      </c>
      <c r="C461" t="s">
        <v>16</v>
      </c>
      <c r="D461">
        <v>222.61</v>
      </c>
      <c r="E461">
        <v>20</v>
      </c>
      <c r="F461" t="s">
        <v>29</v>
      </c>
      <c r="G461" t="s">
        <v>44</v>
      </c>
      <c r="H461" t="s">
        <v>48</v>
      </c>
      <c r="I461" t="s">
        <v>25</v>
      </c>
      <c r="J461">
        <v>0</v>
      </c>
      <c r="K461">
        <v>0</v>
      </c>
      <c r="L461">
        <v>95</v>
      </c>
      <c r="M461">
        <v>5</v>
      </c>
      <c r="N461">
        <v>0</v>
      </c>
      <c r="O461" t="s">
        <v>21</v>
      </c>
      <c r="P461" t="str" cm="1">
        <f t="array" ref="P4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2" spans="1:16">
      <c r="A462">
        <v>7138</v>
      </c>
      <c r="B462" t="s">
        <v>49</v>
      </c>
      <c r="C462" t="s">
        <v>16</v>
      </c>
      <c r="D462">
        <v>177.15</v>
      </c>
      <c r="E462">
        <v>10</v>
      </c>
      <c r="F462" t="s">
        <v>17</v>
      </c>
      <c r="G462" t="s">
        <v>24</v>
      </c>
      <c r="H462" t="s">
        <v>19</v>
      </c>
      <c r="I462" t="s">
        <v>20</v>
      </c>
      <c r="J462">
        <v>0</v>
      </c>
      <c r="K462">
        <v>0</v>
      </c>
      <c r="L462">
        <v>95</v>
      </c>
      <c r="M462">
        <v>4</v>
      </c>
      <c r="N462">
        <v>0</v>
      </c>
      <c r="O462" t="s">
        <v>21</v>
      </c>
      <c r="P462" t="str" cm="1">
        <f t="array" ref="P4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3" spans="1:16">
      <c r="A463">
        <v>2245</v>
      </c>
      <c r="B463" t="s">
        <v>64</v>
      </c>
      <c r="C463" t="s">
        <v>23</v>
      </c>
      <c r="D463">
        <v>348.45</v>
      </c>
      <c r="E463">
        <v>2</v>
      </c>
      <c r="F463" t="s">
        <v>17</v>
      </c>
      <c r="G463" t="s">
        <v>44</v>
      </c>
      <c r="H463" t="s">
        <v>48</v>
      </c>
      <c r="I463" t="s">
        <v>31</v>
      </c>
      <c r="J463">
        <v>1</v>
      </c>
      <c r="K463">
        <v>0</v>
      </c>
      <c r="L463">
        <v>99</v>
      </c>
      <c r="M463">
        <v>5</v>
      </c>
      <c r="N463">
        <v>1</v>
      </c>
      <c r="O463" t="s">
        <v>36</v>
      </c>
      <c r="P463" t="str" cm="1">
        <f t="array" ref="P4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4" spans="1:16">
      <c r="A464">
        <v>7578</v>
      </c>
      <c r="B464" t="s">
        <v>15</v>
      </c>
      <c r="C464" t="s">
        <v>16</v>
      </c>
      <c r="D464">
        <v>225.56</v>
      </c>
      <c r="E464">
        <v>21</v>
      </c>
      <c r="F464" t="s">
        <v>19</v>
      </c>
      <c r="G464" t="s">
        <v>44</v>
      </c>
      <c r="H464" t="s">
        <v>35</v>
      </c>
      <c r="I464" t="s">
        <v>20</v>
      </c>
      <c r="J464">
        <v>0</v>
      </c>
      <c r="K464">
        <v>0</v>
      </c>
      <c r="L464">
        <v>52</v>
      </c>
      <c r="M464">
        <v>3</v>
      </c>
      <c r="N464">
        <v>0</v>
      </c>
      <c r="O464" t="s">
        <v>21</v>
      </c>
      <c r="P464" t="str" cm="1">
        <f t="array" ref="P4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5" spans="1:16">
      <c r="A465">
        <v>1968</v>
      </c>
      <c r="B465" t="s">
        <v>22</v>
      </c>
      <c r="C465" t="s">
        <v>23</v>
      </c>
      <c r="D465">
        <v>80.959999999999994</v>
      </c>
      <c r="E465">
        <v>21</v>
      </c>
      <c r="F465" t="s">
        <v>19</v>
      </c>
      <c r="G465" t="s">
        <v>24</v>
      </c>
      <c r="H465" t="s">
        <v>25</v>
      </c>
      <c r="I465" t="s">
        <v>26</v>
      </c>
      <c r="J465">
        <v>0</v>
      </c>
      <c r="K465">
        <v>0</v>
      </c>
      <c r="L465">
        <v>33</v>
      </c>
      <c r="M465">
        <v>1</v>
      </c>
      <c r="N465">
        <v>0</v>
      </c>
      <c r="O465" t="s">
        <v>21</v>
      </c>
      <c r="P465" t="str" cm="1">
        <f t="array" ref="P4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6" spans="1:16">
      <c r="A466">
        <v>5106</v>
      </c>
      <c r="B466" t="s">
        <v>73</v>
      </c>
      <c r="C466" t="s">
        <v>43</v>
      </c>
      <c r="D466">
        <v>20.29</v>
      </c>
      <c r="E466">
        <v>17</v>
      </c>
      <c r="F466" t="s">
        <v>29</v>
      </c>
      <c r="G466" t="s">
        <v>53</v>
      </c>
      <c r="H466" t="s">
        <v>35</v>
      </c>
      <c r="I466" t="s">
        <v>20</v>
      </c>
      <c r="J466">
        <v>0</v>
      </c>
      <c r="K466">
        <v>0</v>
      </c>
      <c r="L466">
        <v>95</v>
      </c>
      <c r="M466">
        <v>0</v>
      </c>
      <c r="N466">
        <v>0</v>
      </c>
      <c r="O466" t="s">
        <v>21</v>
      </c>
      <c r="P466" t="str" cm="1">
        <f t="array" ref="P4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7" spans="1:16">
      <c r="A467">
        <v>918</v>
      </c>
      <c r="B467" t="s">
        <v>45</v>
      </c>
      <c r="C467" t="s">
        <v>28</v>
      </c>
      <c r="D467">
        <v>533.75</v>
      </c>
      <c r="E467">
        <v>3</v>
      </c>
      <c r="F467" t="s">
        <v>29</v>
      </c>
      <c r="G467" t="s">
        <v>44</v>
      </c>
      <c r="H467" t="s">
        <v>30</v>
      </c>
      <c r="I467" t="s">
        <v>31</v>
      </c>
      <c r="J467">
        <v>0</v>
      </c>
      <c r="K467">
        <v>0</v>
      </c>
      <c r="L467">
        <v>81</v>
      </c>
      <c r="M467">
        <v>2</v>
      </c>
      <c r="N467">
        <v>0</v>
      </c>
      <c r="O467" t="s">
        <v>21</v>
      </c>
      <c r="P467" t="str" cm="1">
        <f t="array" ref="P46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468" spans="1:16">
      <c r="A468">
        <v>943</v>
      </c>
      <c r="B468" t="s">
        <v>42</v>
      </c>
      <c r="C468" t="s">
        <v>43</v>
      </c>
      <c r="D468">
        <v>189.7</v>
      </c>
      <c r="E468">
        <v>23</v>
      </c>
      <c r="F468" t="s">
        <v>19</v>
      </c>
      <c r="G468" t="s">
        <v>38</v>
      </c>
      <c r="H468" t="s">
        <v>35</v>
      </c>
      <c r="I468" t="s">
        <v>20</v>
      </c>
      <c r="J468">
        <v>0</v>
      </c>
      <c r="K468">
        <v>0</v>
      </c>
      <c r="L468">
        <v>90</v>
      </c>
      <c r="M468">
        <v>1</v>
      </c>
      <c r="N468">
        <v>0</v>
      </c>
      <c r="O468" t="s">
        <v>21</v>
      </c>
      <c r="P468" t="str" cm="1">
        <f t="array" ref="P4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69" spans="1:16">
      <c r="A469">
        <v>7635</v>
      </c>
      <c r="B469" t="s">
        <v>61</v>
      </c>
      <c r="C469" t="s">
        <v>28</v>
      </c>
      <c r="D469">
        <v>198.12</v>
      </c>
      <c r="E469">
        <v>10</v>
      </c>
      <c r="F469" t="s">
        <v>50</v>
      </c>
      <c r="G469" t="s">
        <v>38</v>
      </c>
      <c r="H469" t="s">
        <v>41</v>
      </c>
      <c r="I469" t="s">
        <v>20</v>
      </c>
      <c r="J469">
        <v>0</v>
      </c>
      <c r="K469">
        <v>0</v>
      </c>
      <c r="L469">
        <v>60</v>
      </c>
      <c r="M469">
        <v>1</v>
      </c>
      <c r="N469">
        <v>0</v>
      </c>
      <c r="O469" t="s">
        <v>21</v>
      </c>
      <c r="P469" t="str" cm="1">
        <f t="array" ref="P4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0" spans="1:16">
      <c r="A470">
        <v>6525</v>
      </c>
      <c r="B470" t="s">
        <v>74</v>
      </c>
      <c r="C470" t="s">
        <v>28</v>
      </c>
      <c r="D470">
        <v>12.42</v>
      </c>
      <c r="E470">
        <v>9</v>
      </c>
      <c r="F470" t="s">
        <v>19</v>
      </c>
      <c r="G470" t="s">
        <v>24</v>
      </c>
      <c r="H470" t="s">
        <v>19</v>
      </c>
      <c r="I470" t="s">
        <v>20</v>
      </c>
      <c r="J470">
        <v>0</v>
      </c>
      <c r="K470">
        <v>0</v>
      </c>
      <c r="L470">
        <v>68</v>
      </c>
      <c r="M470">
        <v>1</v>
      </c>
      <c r="N470">
        <v>0</v>
      </c>
      <c r="O470" t="s">
        <v>21</v>
      </c>
      <c r="P470" t="str" cm="1">
        <f t="array" ref="P4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1" spans="1:16">
      <c r="A471">
        <v>2277</v>
      </c>
      <c r="B471" t="s">
        <v>55</v>
      </c>
      <c r="C471" t="s">
        <v>28</v>
      </c>
      <c r="D471">
        <v>244.98</v>
      </c>
      <c r="E471">
        <v>0</v>
      </c>
      <c r="F471" t="s">
        <v>19</v>
      </c>
      <c r="G471" t="s">
        <v>24</v>
      </c>
      <c r="H471" t="s">
        <v>30</v>
      </c>
      <c r="I471" t="s">
        <v>26</v>
      </c>
      <c r="J471">
        <v>1</v>
      </c>
      <c r="K471">
        <v>0</v>
      </c>
      <c r="L471">
        <v>28</v>
      </c>
      <c r="M471">
        <v>3</v>
      </c>
      <c r="N471">
        <v>1</v>
      </c>
      <c r="O471" t="s">
        <v>36</v>
      </c>
      <c r="P471" t="str" cm="1">
        <f t="array" ref="P4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2" spans="1:16">
      <c r="A472">
        <v>2455</v>
      </c>
      <c r="B472" t="s">
        <v>27</v>
      </c>
      <c r="C472" t="s">
        <v>28</v>
      </c>
      <c r="D472">
        <v>156.35</v>
      </c>
      <c r="E472">
        <v>0</v>
      </c>
      <c r="F472" t="s">
        <v>17</v>
      </c>
      <c r="G472" t="s">
        <v>24</v>
      </c>
      <c r="H472" t="s">
        <v>41</v>
      </c>
      <c r="I472" t="s">
        <v>20</v>
      </c>
      <c r="J472">
        <v>0</v>
      </c>
      <c r="K472">
        <v>0</v>
      </c>
      <c r="L472">
        <v>25</v>
      </c>
      <c r="M472">
        <v>1</v>
      </c>
      <c r="N472">
        <v>0</v>
      </c>
      <c r="O472" t="s">
        <v>21</v>
      </c>
      <c r="P472" t="str" cm="1">
        <f t="array" ref="P4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3" spans="1:16">
      <c r="A473">
        <v>9588</v>
      </c>
      <c r="B473" t="s">
        <v>32</v>
      </c>
      <c r="C473" t="s">
        <v>33</v>
      </c>
      <c r="D473">
        <v>93.93</v>
      </c>
      <c r="E473">
        <v>1</v>
      </c>
      <c r="F473" t="s">
        <v>19</v>
      </c>
      <c r="G473" t="s">
        <v>18</v>
      </c>
      <c r="H473" t="s">
        <v>30</v>
      </c>
      <c r="I473" t="s">
        <v>26</v>
      </c>
      <c r="J473">
        <v>0</v>
      </c>
      <c r="K473">
        <v>1</v>
      </c>
      <c r="L473">
        <v>27</v>
      </c>
      <c r="M473">
        <v>3</v>
      </c>
      <c r="N473">
        <v>1</v>
      </c>
      <c r="O473" t="s">
        <v>36</v>
      </c>
      <c r="P473" t="str" cm="1">
        <f t="array" ref="P4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4" spans="1:16">
      <c r="A474">
        <v>3740</v>
      </c>
      <c r="B474" t="s">
        <v>54</v>
      </c>
      <c r="C474" t="s">
        <v>28</v>
      </c>
      <c r="D474">
        <v>155.25</v>
      </c>
      <c r="E474">
        <v>14</v>
      </c>
      <c r="F474" t="s">
        <v>29</v>
      </c>
      <c r="G474" t="s">
        <v>24</v>
      </c>
      <c r="H474" t="s">
        <v>48</v>
      </c>
      <c r="I474" t="s">
        <v>20</v>
      </c>
      <c r="J474">
        <v>0</v>
      </c>
      <c r="K474">
        <v>0</v>
      </c>
      <c r="L474">
        <v>77</v>
      </c>
      <c r="M474">
        <v>3</v>
      </c>
      <c r="N474">
        <v>0</v>
      </c>
      <c r="O474" t="s">
        <v>21</v>
      </c>
      <c r="P474" t="str" cm="1">
        <f t="array" ref="P4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5" spans="1:16">
      <c r="A475">
        <v>2401</v>
      </c>
      <c r="B475" t="s">
        <v>72</v>
      </c>
      <c r="C475" t="s">
        <v>16</v>
      </c>
      <c r="D475">
        <v>74.959999999999994</v>
      </c>
      <c r="E475">
        <v>23</v>
      </c>
      <c r="F475" t="s">
        <v>50</v>
      </c>
      <c r="G475" t="s">
        <v>44</v>
      </c>
      <c r="H475" t="s">
        <v>19</v>
      </c>
      <c r="I475" t="s">
        <v>20</v>
      </c>
      <c r="J475">
        <v>0</v>
      </c>
      <c r="K475">
        <v>0</v>
      </c>
      <c r="L475">
        <v>97</v>
      </c>
      <c r="M475">
        <v>2</v>
      </c>
      <c r="N475">
        <v>0</v>
      </c>
      <c r="O475" t="s">
        <v>21</v>
      </c>
      <c r="P475" t="str" cm="1">
        <f t="array" ref="P4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6" spans="1:16">
      <c r="A476">
        <v>1564</v>
      </c>
      <c r="B476" t="s">
        <v>22</v>
      </c>
      <c r="C476" t="s">
        <v>23</v>
      </c>
      <c r="D476">
        <v>57.84</v>
      </c>
      <c r="E476">
        <v>12</v>
      </c>
      <c r="F476" t="s">
        <v>29</v>
      </c>
      <c r="G476" t="s">
        <v>18</v>
      </c>
      <c r="H476" t="s">
        <v>30</v>
      </c>
      <c r="I476" t="s">
        <v>31</v>
      </c>
      <c r="J476">
        <v>0</v>
      </c>
      <c r="K476">
        <v>1</v>
      </c>
      <c r="L476">
        <v>82</v>
      </c>
      <c r="M476">
        <v>1</v>
      </c>
      <c r="N476">
        <v>0</v>
      </c>
      <c r="O476" t="s">
        <v>21</v>
      </c>
      <c r="P476" t="str" cm="1">
        <f t="array" ref="P4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7" spans="1:16">
      <c r="A477">
        <v>7899</v>
      </c>
      <c r="B477" t="s">
        <v>60</v>
      </c>
      <c r="C477" t="s">
        <v>23</v>
      </c>
      <c r="D477">
        <v>53.64</v>
      </c>
      <c r="E477">
        <v>3</v>
      </c>
      <c r="F477" t="s">
        <v>29</v>
      </c>
      <c r="G477" t="s">
        <v>24</v>
      </c>
      <c r="H477" t="s">
        <v>48</v>
      </c>
      <c r="I477" t="s">
        <v>26</v>
      </c>
      <c r="J477">
        <v>0</v>
      </c>
      <c r="K477">
        <v>1</v>
      </c>
      <c r="L477">
        <v>36</v>
      </c>
      <c r="M477">
        <v>5</v>
      </c>
      <c r="N477">
        <v>1</v>
      </c>
      <c r="O477" t="s">
        <v>36</v>
      </c>
      <c r="P477" t="str" cm="1">
        <f t="array" ref="P4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8" spans="1:16">
      <c r="A478">
        <v>9171</v>
      </c>
      <c r="B478" t="s">
        <v>27</v>
      </c>
      <c r="C478" t="s">
        <v>28</v>
      </c>
      <c r="D478">
        <v>56.87</v>
      </c>
      <c r="E478">
        <v>18</v>
      </c>
      <c r="F478" t="s">
        <v>50</v>
      </c>
      <c r="G478" t="s">
        <v>24</v>
      </c>
      <c r="H478" t="s">
        <v>41</v>
      </c>
      <c r="I478" t="s">
        <v>20</v>
      </c>
      <c r="J478">
        <v>0</v>
      </c>
      <c r="K478">
        <v>0</v>
      </c>
      <c r="L478">
        <v>68</v>
      </c>
      <c r="M478">
        <v>1</v>
      </c>
      <c r="N478">
        <v>0</v>
      </c>
      <c r="O478" t="s">
        <v>21</v>
      </c>
      <c r="P478" t="str" cm="1">
        <f t="array" ref="P4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79" spans="1:16">
      <c r="A479">
        <v>6768</v>
      </c>
      <c r="B479" t="s">
        <v>60</v>
      </c>
      <c r="C479" t="s">
        <v>23</v>
      </c>
      <c r="D479">
        <v>47.58</v>
      </c>
      <c r="E479">
        <v>1</v>
      </c>
      <c r="F479" t="s">
        <v>29</v>
      </c>
      <c r="G479" t="s">
        <v>24</v>
      </c>
      <c r="H479" t="s">
        <v>35</v>
      </c>
      <c r="I479" t="s">
        <v>20</v>
      </c>
      <c r="J479">
        <v>1</v>
      </c>
      <c r="K479">
        <v>0</v>
      </c>
      <c r="L479">
        <v>33</v>
      </c>
      <c r="M479">
        <v>0</v>
      </c>
      <c r="N479">
        <v>1</v>
      </c>
      <c r="O479" t="s">
        <v>36</v>
      </c>
      <c r="P479" t="str" cm="1">
        <f t="array" ref="P4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0" spans="1:16">
      <c r="A480">
        <v>7598</v>
      </c>
      <c r="B480" t="s">
        <v>45</v>
      </c>
      <c r="C480" t="s">
        <v>28</v>
      </c>
      <c r="D480">
        <v>2.13</v>
      </c>
      <c r="E480">
        <v>8</v>
      </c>
      <c r="F480" t="s">
        <v>34</v>
      </c>
      <c r="G480" t="s">
        <v>44</v>
      </c>
      <c r="H480" t="s">
        <v>19</v>
      </c>
      <c r="I480" t="s">
        <v>20</v>
      </c>
      <c r="J480">
        <v>0</v>
      </c>
      <c r="K480">
        <v>0</v>
      </c>
      <c r="L480">
        <v>36</v>
      </c>
      <c r="M480">
        <v>1</v>
      </c>
      <c r="N480">
        <v>0</v>
      </c>
      <c r="O480" t="s">
        <v>21</v>
      </c>
      <c r="P480" t="str" cm="1">
        <f t="array" ref="P4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1" spans="1:16">
      <c r="A481">
        <v>429</v>
      </c>
      <c r="B481" t="s">
        <v>58</v>
      </c>
      <c r="C481" t="s">
        <v>43</v>
      </c>
      <c r="D481">
        <v>77.790000000000006</v>
      </c>
      <c r="E481">
        <v>4</v>
      </c>
      <c r="F481" t="s">
        <v>29</v>
      </c>
      <c r="G481" t="s">
        <v>24</v>
      </c>
      <c r="H481" t="s">
        <v>48</v>
      </c>
      <c r="I481" t="s">
        <v>20</v>
      </c>
      <c r="J481">
        <v>0</v>
      </c>
      <c r="K481">
        <v>0</v>
      </c>
      <c r="L481">
        <v>61</v>
      </c>
      <c r="M481">
        <v>6</v>
      </c>
      <c r="N481">
        <v>0</v>
      </c>
      <c r="O481" t="s">
        <v>21</v>
      </c>
      <c r="P481" t="str" cm="1">
        <f t="array" ref="P4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2" spans="1:16">
      <c r="A482">
        <v>4262</v>
      </c>
      <c r="B482" t="s">
        <v>39</v>
      </c>
      <c r="C482" t="s">
        <v>28</v>
      </c>
      <c r="D482">
        <v>386.63</v>
      </c>
      <c r="E482">
        <v>19</v>
      </c>
      <c r="F482" t="s">
        <v>19</v>
      </c>
      <c r="G482" t="s">
        <v>44</v>
      </c>
      <c r="H482" t="s">
        <v>30</v>
      </c>
      <c r="I482" t="s">
        <v>20</v>
      </c>
      <c r="J482">
        <v>1</v>
      </c>
      <c r="K482">
        <v>0</v>
      </c>
      <c r="L482">
        <v>39</v>
      </c>
      <c r="M482">
        <v>5</v>
      </c>
      <c r="N482">
        <v>1</v>
      </c>
      <c r="O482" t="s">
        <v>36</v>
      </c>
      <c r="P482" t="str" cm="1">
        <f t="array" ref="P4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3" spans="1:16">
      <c r="A483">
        <v>8506</v>
      </c>
      <c r="B483" t="s">
        <v>15</v>
      </c>
      <c r="C483" t="s">
        <v>16</v>
      </c>
      <c r="D483">
        <v>237.91</v>
      </c>
      <c r="E483">
        <v>23</v>
      </c>
      <c r="F483" t="s">
        <v>50</v>
      </c>
      <c r="G483" t="s">
        <v>24</v>
      </c>
      <c r="H483" t="s">
        <v>35</v>
      </c>
      <c r="I483" t="s">
        <v>20</v>
      </c>
      <c r="J483">
        <v>0</v>
      </c>
      <c r="K483">
        <v>0</v>
      </c>
      <c r="L483">
        <v>70</v>
      </c>
      <c r="M483">
        <v>1</v>
      </c>
      <c r="N483">
        <v>0</v>
      </c>
      <c r="O483" t="s">
        <v>21</v>
      </c>
      <c r="P483" t="str" cm="1">
        <f t="array" ref="P4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4" spans="1:16">
      <c r="A484">
        <v>3946</v>
      </c>
      <c r="B484" t="s">
        <v>63</v>
      </c>
      <c r="C484" t="s">
        <v>28</v>
      </c>
      <c r="D484">
        <v>3.01</v>
      </c>
      <c r="E484">
        <v>20</v>
      </c>
      <c r="F484" t="s">
        <v>17</v>
      </c>
      <c r="G484" t="s">
        <v>44</v>
      </c>
      <c r="H484" t="s">
        <v>25</v>
      </c>
      <c r="I484" t="s">
        <v>20</v>
      </c>
      <c r="J484">
        <v>1</v>
      </c>
      <c r="K484">
        <v>0</v>
      </c>
      <c r="L484">
        <v>62</v>
      </c>
      <c r="M484">
        <v>2</v>
      </c>
      <c r="N484">
        <v>0</v>
      </c>
      <c r="O484" t="s">
        <v>21</v>
      </c>
      <c r="P484" t="str" cm="1">
        <f t="array" ref="P4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5" spans="1:16">
      <c r="A485">
        <v>3395</v>
      </c>
      <c r="B485" t="s">
        <v>73</v>
      </c>
      <c r="C485" t="s">
        <v>43</v>
      </c>
      <c r="D485">
        <v>416.2</v>
      </c>
      <c r="E485">
        <v>0</v>
      </c>
      <c r="F485" t="s">
        <v>19</v>
      </c>
      <c r="G485" t="s">
        <v>24</v>
      </c>
      <c r="H485" t="s">
        <v>19</v>
      </c>
      <c r="I485" t="s">
        <v>20</v>
      </c>
      <c r="J485">
        <v>1</v>
      </c>
      <c r="K485">
        <v>0</v>
      </c>
      <c r="L485">
        <v>30</v>
      </c>
      <c r="M485">
        <v>2</v>
      </c>
      <c r="N485">
        <v>1</v>
      </c>
      <c r="O485" t="s">
        <v>36</v>
      </c>
      <c r="P485" t="str" cm="1">
        <f t="array" ref="P4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6" spans="1:16">
      <c r="A486">
        <v>431</v>
      </c>
      <c r="B486" t="s">
        <v>57</v>
      </c>
      <c r="C486" t="s">
        <v>43</v>
      </c>
      <c r="D486">
        <v>27.78</v>
      </c>
      <c r="E486">
        <v>8</v>
      </c>
      <c r="F486" t="s">
        <v>29</v>
      </c>
      <c r="G486" t="s">
        <v>38</v>
      </c>
      <c r="H486" t="s">
        <v>35</v>
      </c>
      <c r="I486" t="s">
        <v>20</v>
      </c>
      <c r="J486">
        <v>0</v>
      </c>
      <c r="K486">
        <v>0</v>
      </c>
      <c r="L486">
        <v>94</v>
      </c>
      <c r="M486">
        <v>4</v>
      </c>
      <c r="N486">
        <v>0</v>
      </c>
      <c r="O486" t="s">
        <v>21</v>
      </c>
      <c r="P486" t="str" cm="1">
        <f t="array" ref="P4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7" spans="1:16">
      <c r="A487">
        <v>7954</v>
      </c>
      <c r="B487" t="s">
        <v>71</v>
      </c>
      <c r="C487" t="s">
        <v>33</v>
      </c>
      <c r="D487">
        <v>10.59</v>
      </c>
      <c r="E487">
        <v>22</v>
      </c>
      <c r="F487" t="s">
        <v>19</v>
      </c>
      <c r="G487" t="s">
        <v>18</v>
      </c>
      <c r="H487" t="s">
        <v>41</v>
      </c>
      <c r="I487" t="s">
        <v>20</v>
      </c>
      <c r="J487">
        <v>0</v>
      </c>
      <c r="K487">
        <v>0</v>
      </c>
      <c r="L487">
        <v>37</v>
      </c>
      <c r="M487">
        <v>3</v>
      </c>
      <c r="N487">
        <v>0</v>
      </c>
      <c r="O487" t="s">
        <v>21</v>
      </c>
      <c r="P487" t="str" cm="1">
        <f t="array" ref="P4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8" spans="1:16">
      <c r="A488">
        <v>378</v>
      </c>
      <c r="B488" t="s">
        <v>54</v>
      </c>
      <c r="C488" t="s">
        <v>28</v>
      </c>
      <c r="D488">
        <v>4.24</v>
      </c>
      <c r="E488">
        <v>0</v>
      </c>
      <c r="F488" t="s">
        <v>50</v>
      </c>
      <c r="G488" t="s">
        <v>24</v>
      </c>
      <c r="H488" t="s">
        <v>48</v>
      </c>
      <c r="I488" t="s">
        <v>20</v>
      </c>
      <c r="J488">
        <v>0</v>
      </c>
      <c r="K488">
        <v>1</v>
      </c>
      <c r="L488">
        <v>31</v>
      </c>
      <c r="M488">
        <v>5</v>
      </c>
      <c r="N488">
        <v>1</v>
      </c>
      <c r="O488" t="s">
        <v>36</v>
      </c>
      <c r="P488" t="str" cm="1">
        <f t="array" ref="P4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89" spans="1:16">
      <c r="A489">
        <v>7530</v>
      </c>
      <c r="B489" t="s">
        <v>49</v>
      </c>
      <c r="C489" t="s">
        <v>16</v>
      </c>
      <c r="D489">
        <v>54.06</v>
      </c>
      <c r="E489">
        <v>4</v>
      </c>
      <c r="F489" t="s">
        <v>34</v>
      </c>
      <c r="G489" t="s">
        <v>18</v>
      </c>
      <c r="H489" t="s">
        <v>25</v>
      </c>
      <c r="I489" t="s">
        <v>20</v>
      </c>
      <c r="J489">
        <v>0</v>
      </c>
      <c r="K489">
        <v>0</v>
      </c>
      <c r="L489">
        <v>89</v>
      </c>
      <c r="M489">
        <v>2</v>
      </c>
      <c r="N489">
        <v>0</v>
      </c>
      <c r="O489" t="s">
        <v>21</v>
      </c>
      <c r="P489" t="str" cm="1">
        <f t="array" ref="P4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0" spans="1:16">
      <c r="A490">
        <v>5376</v>
      </c>
      <c r="B490" t="s">
        <v>32</v>
      </c>
      <c r="C490" t="s">
        <v>33</v>
      </c>
      <c r="D490">
        <v>284.39</v>
      </c>
      <c r="E490">
        <v>13</v>
      </c>
      <c r="F490" t="s">
        <v>17</v>
      </c>
      <c r="G490" t="s">
        <v>44</v>
      </c>
      <c r="H490" t="s">
        <v>48</v>
      </c>
      <c r="I490" t="s">
        <v>31</v>
      </c>
      <c r="J490">
        <v>0</v>
      </c>
      <c r="K490">
        <v>0</v>
      </c>
      <c r="L490">
        <v>58</v>
      </c>
      <c r="M490">
        <v>4</v>
      </c>
      <c r="N490">
        <v>0</v>
      </c>
      <c r="O490" t="s">
        <v>21</v>
      </c>
      <c r="P490" t="str" cm="1">
        <f t="array" ref="P4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1" spans="1:16">
      <c r="A491">
        <v>8302</v>
      </c>
      <c r="B491" t="s">
        <v>61</v>
      </c>
      <c r="C491" t="s">
        <v>28</v>
      </c>
      <c r="D491">
        <v>53.96</v>
      </c>
      <c r="E491">
        <v>16</v>
      </c>
      <c r="F491" t="s">
        <v>50</v>
      </c>
      <c r="G491" t="s">
        <v>24</v>
      </c>
      <c r="H491" t="s">
        <v>48</v>
      </c>
      <c r="I491" t="s">
        <v>26</v>
      </c>
      <c r="J491">
        <v>0</v>
      </c>
      <c r="K491">
        <v>0</v>
      </c>
      <c r="L491">
        <v>98</v>
      </c>
      <c r="M491">
        <v>1</v>
      </c>
      <c r="N491">
        <v>0</v>
      </c>
      <c r="O491" t="s">
        <v>21</v>
      </c>
      <c r="P491" t="str" cm="1">
        <f t="array" ref="P4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2" spans="1:16">
      <c r="A492">
        <v>7200</v>
      </c>
      <c r="B492" t="s">
        <v>42</v>
      </c>
      <c r="C492" t="s">
        <v>43</v>
      </c>
      <c r="D492">
        <v>529.79</v>
      </c>
      <c r="E492">
        <v>22</v>
      </c>
      <c r="F492" t="s">
        <v>50</v>
      </c>
      <c r="G492" t="s">
        <v>38</v>
      </c>
      <c r="H492" t="s">
        <v>35</v>
      </c>
      <c r="I492" t="s">
        <v>20</v>
      </c>
      <c r="J492">
        <v>0</v>
      </c>
      <c r="K492">
        <v>0</v>
      </c>
      <c r="L492">
        <v>50</v>
      </c>
      <c r="M492">
        <v>0</v>
      </c>
      <c r="N492">
        <v>0</v>
      </c>
      <c r="O492" t="s">
        <v>21</v>
      </c>
      <c r="P492" t="str" cm="1">
        <f t="array" ref="P492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493" spans="1:16">
      <c r="A493">
        <v>6153</v>
      </c>
      <c r="B493" t="s">
        <v>32</v>
      </c>
      <c r="C493" t="s">
        <v>33</v>
      </c>
      <c r="D493">
        <v>9.2899999999999991</v>
      </c>
      <c r="E493">
        <v>18</v>
      </c>
      <c r="F493" t="s">
        <v>17</v>
      </c>
      <c r="G493" t="s">
        <v>24</v>
      </c>
      <c r="H493" t="s">
        <v>35</v>
      </c>
      <c r="I493" t="s">
        <v>20</v>
      </c>
      <c r="J493">
        <v>0</v>
      </c>
      <c r="K493">
        <v>0</v>
      </c>
      <c r="L493">
        <v>74</v>
      </c>
      <c r="M493">
        <v>3</v>
      </c>
      <c r="N493">
        <v>0</v>
      </c>
      <c r="O493" t="s">
        <v>21</v>
      </c>
      <c r="P493" t="str" cm="1">
        <f t="array" ref="P4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4" spans="1:16">
      <c r="A494">
        <v>9322</v>
      </c>
      <c r="B494" t="s">
        <v>54</v>
      </c>
      <c r="C494" t="s">
        <v>28</v>
      </c>
      <c r="D494">
        <v>388.8</v>
      </c>
      <c r="E494">
        <v>3</v>
      </c>
      <c r="F494" t="s">
        <v>29</v>
      </c>
      <c r="G494" t="s">
        <v>38</v>
      </c>
      <c r="H494" t="s">
        <v>30</v>
      </c>
      <c r="I494" t="s">
        <v>31</v>
      </c>
      <c r="J494">
        <v>1</v>
      </c>
      <c r="K494">
        <v>1</v>
      </c>
      <c r="L494">
        <v>31</v>
      </c>
      <c r="M494">
        <v>0</v>
      </c>
      <c r="N494">
        <v>1</v>
      </c>
      <c r="O494" t="s">
        <v>36</v>
      </c>
      <c r="P494" t="str" cm="1">
        <f t="array" ref="P4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5" spans="1:16">
      <c r="A495">
        <v>2725</v>
      </c>
      <c r="B495" t="s">
        <v>51</v>
      </c>
      <c r="C495" t="s">
        <v>52</v>
      </c>
      <c r="D495">
        <v>91.35</v>
      </c>
      <c r="E495">
        <v>22</v>
      </c>
      <c r="F495" t="s">
        <v>34</v>
      </c>
      <c r="G495" t="s">
        <v>24</v>
      </c>
      <c r="H495" t="s">
        <v>35</v>
      </c>
      <c r="I495" t="s">
        <v>26</v>
      </c>
      <c r="J495">
        <v>0</v>
      </c>
      <c r="K495">
        <v>0</v>
      </c>
      <c r="L495">
        <v>71</v>
      </c>
      <c r="M495">
        <v>1</v>
      </c>
      <c r="N495">
        <v>0</v>
      </c>
      <c r="O495" t="s">
        <v>21</v>
      </c>
      <c r="P495" t="str" cm="1">
        <f t="array" ref="P4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6" spans="1:16">
      <c r="A496">
        <v>9527</v>
      </c>
      <c r="B496" t="s">
        <v>32</v>
      </c>
      <c r="C496" t="s">
        <v>33</v>
      </c>
      <c r="D496">
        <v>398.66</v>
      </c>
      <c r="E496">
        <v>3</v>
      </c>
      <c r="F496" t="s">
        <v>34</v>
      </c>
      <c r="G496" t="s">
        <v>24</v>
      </c>
      <c r="H496" t="s">
        <v>25</v>
      </c>
      <c r="I496" t="s">
        <v>31</v>
      </c>
      <c r="J496">
        <v>0</v>
      </c>
      <c r="K496">
        <v>0</v>
      </c>
      <c r="L496">
        <v>30</v>
      </c>
      <c r="M496">
        <v>5</v>
      </c>
      <c r="N496">
        <v>1</v>
      </c>
      <c r="O496" t="s">
        <v>36</v>
      </c>
      <c r="P496" t="str" cm="1">
        <f t="array" ref="P4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7" spans="1:16">
      <c r="A497">
        <v>4077</v>
      </c>
      <c r="B497" t="s">
        <v>39</v>
      </c>
      <c r="C497" t="s">
        <v>28</v>
      </c>
      <c r="D497">
        <v>100.89</v>
      </c>
      <c r="E497">
        <v>2</v>
      </c>
      <c r="F497" t="s">
        <v>29</v>
      </c>
      <c r="G497" t="s">
        <v>53</v>
      </c>
      <c r="H497" t="s">
        <v>48</v>
      </c>
      <c r="I497" t="s">
        <v>20</v>
      </c>
      <c r="J497">
        <v>0</v>
      </c>
      <c r="K497">
        <v>0</v>
      </c>
      <c r="L497">
        <v>61</v>
      </c>
      <c r="M497">
        <v>2</v>
      </c>
      <c r="N497">
        <v>0</v>
      </c>
      <c r="O497" t="s">
        <v>21</v>
      </c>
      <c r="P497" t="str" cm="1">
        <f t="array" ref="P4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8" spans="1:16">
      <c r="A498">
        <v>8530</v>
      </c>
      <c r="B498" t="s">
        <v>40</v>
      </c>
      <c r="C498" t="s">
        <v>33</v>
      </c>
      <c r="D498">
        <v>181.49</v>
      </c>
      <c r="E498">
        <v>20</v>
      </c>
      <c r="F498" t="s">
        <v>29</v>
      </c>
      <c r="G498" t="s">
        <v>24</v>
      </c>
      <c r="H498" t="s">
        <v>35</v>
      </c>
      <c r="I498" t="s">
        <v>20</v>
      </c>
      <c r="J498">
        <v>0</v>
      </c>
      <c r="K498">
        <v>0</v>
      </c>
      <c r="L498">
        <v>41</v>
      </c>
      <c r="M498">
        <v>4</v>
      </c>
      <c r="N498">
        <v>0</v>
      </c>
      <c r="O498" t="s">
        <v>21</v>
      </c>
      <c r="P498" t="str" cm="1">
        <f t="array" ref="P4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499" spans="1:16">
      <c r="A499">
        <v>6350</v>
      </c>
      <c r="B499" t="s">
        <v>63</v>
      </c>
      <c r="C499" t="s">
        <v>28</v>
      </c>
      <c r="D499">
        <v>222.65</v>
      </c>
      <c r="E499">
        <v>13</v>
      </c>
      <c r="F499" t="s">
        <v>34</v>
      </c>
      <c r="G499" t="s">
        <v>24</v>
      </c>
      <c r="H499" t="s">
        <v>35</v>
      </c>
      <c r="I499" t="s">
        <v>20</v>
      </c>
      <c r="J499">
        <v>0</v>
      </c>
      <c r="K499">
        <v>0</v>
      </c>
      <c r="L499">
        <v>95</v>
      </c>
      <c r="M499">
        <v>2</v>
      </c>
      <c r="N499">
        <v>0</v>
      </c>
      <c r="O499" t="s">
        <v>21</v>
      </c>
      <c r="P499" t="str" cm="1">
        <f t="array" ref="P4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0" spans="1:16">
      <c r="A500">
        <v>8655</v>
      </c>
      <c r="B500" t="s">
        <v>54</v>
      </c>
      <c r="C500" t="s">
        <v>28</v>
      </c>
      <c r="D500">
        <v>83.58</v>
      </c>
      <c r="E500">
        <v>23</v>
      </c>
      <c r="F500" t="s">
        <v>29</v>
      </c>
      <c r="G500" t="s">
        <v>18</v>
      </c>
      <c r="H500" t="s">
        <v>35</v>
      </c>
      <c r="I500" t="s">
        <v>26</v>
      </c>
      <c r="J500">
        <v>1</v>
      </c>
      <c r="K500">
        <v>0</v>
      </c>
      <c r="L500">
        <v>63</v>
      </c>
      <c r="M500">
        <v>4</v>
      </c>
      <c r="N500">
        <v>0</v>
      </c>
      <c r="O500" t="s">
        <v>21</v>
      </c>
      <c r="P500" t="str" cm="1">
        <f t="array" ref="P5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1" spans="1:16">
      <c r="A501">
        <v>5345</v>
      </c>
      <c r="B501" t="s">
        <v>67</v>
      </c>
      <c r="C501" t="s">
        <v>28</v>
      </c>
      <c r="D501">
        <v>582.79</v>
      </c>
      <c r="E501">
        <v>17</v>
      </c>
      <c r="F501" t="s">
        <v>19</v>
      </c>
      <c r="G501" t="s">
        <v>24</v>
      </c>
      <c r="H501" t="s">
        <v>30</v>
      </c>
      <c r="I501" t="s">
        <v>20</v>
      </c>
      <c r="J501">
        <v>0</v>
      </c>
      <c r="K501">
        <v>0</v>
      </c>
      <c r="L501">
        <v>62</v>
      </c>
      <c r="M501">
        <v>0</v>
      </c>
      <c r="N501">
        <v>0</v>
      </c>
      <c r="O501" t="s">
        <v>21</v>
      </c>
      <c r="P501" t="str" cm="1">
        <f t="array" ref="P501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02" spans="1:16">
      <c r="A502">
        <v>5857</v>
      </c>
      <c r="B502" t="s">
        <v>22</v>
      </c>
      <c r="C502" t="s">
        <v>23</v>
      </c>
      <c r="D502">
        <v>27.96</v>
      </c>
      <c r="E502">
        <v>5</v>
      </c>
      <c r="F502" t="s">
        <v>19</v>
      </c>
      <c r="G502" t="s">
        <v>24</v>
      </c>
      <c r="H502" t="s">
        <v>48</v>
      </c>
      <c r="I502" t="s">
        <v>20</v>
      </c>
      <c r="J502">
        <v>1</v>
      </c>
      <c r="K502">
        <v>1</v>
      </c>
      <c r="L502">
        <v>27</v>
      </c>
      <c r="M502">
        <v>1</v>
      </c>
      <c r="N502">
        <v>1</v>
      </c>
      <c r="O502" t="s">
        <v>36</v>
      </c>
      <c r="P502" t="str" cm="1">
        <f t="array" ref="P5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3" spans="1:16">
      <c r="A503">
        <v>2433</v>
      </c>
      <c r="B503" t="s">
        <v>32</v>
      </c>
      <c r="C503" t="s">
        <v>33</v>
      </c>
      <c r="D503">
        <v>744.48</v>
      </c>
      <c r="E503">
        <v>20</v>
      </c>
      <c r="F503" t="s">
        <v>34</v>
      </c>
      <c r="G503" t="s">
        <v>24</v>
      </c>
      <c r="H503" t="s">
        <v>35</v>
      </c>
      <c r="I503" t="s">
        <v>20</v>
      </c>
      <c r="J503">
        <v>0</v>
      </c>
      <c r="K503">
        <v>0</v>
      </c>
      <c r="L503">
        <v>92</v>
      </c>
      <c r="M503">
        <v>1</v>
      </c>
      <c r="N503">
        <v>0</v>
      </c>
      <c r="O503" t="s">
        <v>21</v>
      </c>
      <c r="P503" t="str" cm="1">
        <f t="array" ref="P503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04" spans="1:16">
      <c r="A504">
        <v>3239</v>
      </c>
      <c r="B504" t="s">
        <v>27</v>
      </c>
      <c r="C504" t="s">
        <v>28</v>
      </c>
      <c r="D504">
        <v>172.42</v>
      </c>
      <c r="E504">
        <v>4</v>
      </c>
      <c r="F504" t="s">
        <v>29</v>
      </c>
      <c r="G504" t="s">
        <v>53</v>
      </c>
      <c r="H504" t="s">
        <v>30</v>
      </c>
      <c r="I504" t="s">
        <v>25</v>
      </c>
      <c r="J504">
        <v>0</v>
      </c>
      <c r="K504">
        <v>1</v>
      </c>
      <c r="L504">
        <v>92</v>
      </c>
      <c r="M504">
        <v>0</v>
      </c>
      <c r="N504">
        <v>0</v>
      </c>
      <c r="O504" t="s">
        <v>21</v>
      </c>
      <c r="P504" t="str" cm="1">
        <f t="array" ref="P5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5" spans="1:16">
      <c r="A505">
        <v>5451</v>
      </c>
      <c r="B505" t="s">
        <v>32</v>
      </c>
      <c r="C505" t="s">
        <v>33</v>
      </c>
      <c r="D505">
        <v>61.58</v>
      </c>
      <c r="E505">
        <v>8</v>
      </c>
      <c r="F505" t="s">
        <v>29</v>
      </c>
      <c r="G505" t="s">
        <v>53</v>
      </c>
      <c r="H505" t="s">
        <v>19</v>
      </c>
      <c r="I505" t="s">
        <v>26</v>
      </c>
      <c r="J505">
        <v>0</v>
      </c>
      <c r="K505">
        <v>1</v>
      </c>
      <c r="L505">
        <v>25</v>
      </c>
      <c r="M505">
        <v>0</v>
      </c>
      <c r="N505">
        <v>0</v>
      </c>
      <c r="O505" t="s">
        <v>21</v>
      </c>
      <c r="P505" t="str" cm="1">
        <f t="array" ref="P5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6" spans="1:16">
      <c r="A506">
        <v>29</v>
      </c>
      <c r="B506" t="s">
        <v>49</v>
      </c>
      <c r="C506" t="s">
        <v>16</v>
      </c>
      <c r="D506">
        <v>161.55000000000001</v>
      </c>
      <c r="E506">
        <v>20</v>
      </c>
      <c r="F506" t="s">
        <v>19</v>
      </c>
      <c r="G506" t="s">
        <v>18</v>
      </c>
      <c r="H506" t="s">
        <v>41</v>
      </c>
      <c r="I506" t="s">
        <v>31</v>
      </c>
      <c r="J506">
        <v>0</v>
      </c>
      <c r="K506">
        <v>0</v>
      </c>
      <c r="L506">
        <v>62</v>
      </c>
      <c r="M506">
        <v>3</v>
      </c>
      <c r="N506">
        <v>0</v>
      </c>
      <c r="O506" t="s">
        <v>21</v>
      </c>
      <c r="P506" t="str" cm="1">
        <f t="array" ref="P5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7" spans="1:16">
      <c r="A507">
        <v>4109</v>
      </c>
      <c r="B507" t="s">
        <v>27</v>
      </c>
      <c r="C507" t="s">
        <v>28</v>
      </c>
      <c r="D507">
        <v>397.94</v>
      </c>
      <c r="E507">
        <v>1</v>
      </c>
      <c r="F507" t="s">
        <v>29</v>
      </c>
      <c r="G507" t="s">
        <v>53</v>
      </c>
      <c r="H507" t="s">
        <v>35</v>
      </c>
      <c r="I507" t="s">
        <v>31</v>
      </c>
      <c r="J507">
        <v>0</v>
      </c>
      <c r="K507">
        <v>0</v>
      </c>
      <c r="L507">
        <v>33</v>
      </c>
      <c r="M507">
        <v>2</v>
      </c>
      <c r="N507">
        <v>0</v>
      </c>
      <c r="O507" t="s">
        <v>21</v>
      </c>
      <c r="P507" t="str" cm="1">
        <f t="array" ref="P5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8" spans="1:16">
      <c r="A508">
        <v>7423</v>
      </c>
      <c r="B508" t="s">
        <v>56</v>
      </c>
      <c r="C508" t="s">
        <v>52</v>
      </c>
      <c r="D508">
        <v>89.08</v>
      </c>
      <c r="E508">
        <v>0</v>
      </c>
      <c r="F508" t="s">
        <v>29</v>
      </c>
      <c r="G508" t="s">
        <v>18</v>
      </c>
      <c r="H508" t="s">
        <v>48</v>
      </c>
      <c r="I508" t="s">
        <v>20</v>
      </c>
      <c r="J508">
        <v>0</v>
      </c>
      <c r="K508">
        <v>1</v>
      </c>
      <c r="L508">
        <v>29</v>
      </c>
      <c r="M508">
        <v>1</v>
      </c>
      <c r="N508">
        <v>1</v>
      </c>
      <c r="O508" t="s">
        <v>36</v>
      </c>
      <c r="P508" t="str" cm="1">
        <f t="array" ref="P5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09" spans="1:16">
      <c r="A509">
        <v>6322</v>
      </c>
      <c r="B509" t="s">
        <v>32</v>
      </c>
      <c r="C509" t="s">
        <v>33</v>
      </c>
      <c r="D509">
        <v>128.22</v>
      </c>
      <c r="E509">
        <v>2</v>
      </c>
      <c r="F509" t="s">
        <v>50</v>
      </c>
      <c r="G509" t="s">
        <v>18</v>
      </c>
      <c r="H509" t="s">
        <v>41</v>
      </c>
      <c r="I509" t="s">
        <v>20</v>
      </c>
      <c r="J509">
        <v>0</v>
      </c>
      <c r="K509">
        <v>0</v>
      </c>
      <c r="L509">
        <v>85</v>
      </c>
      <c r="M509">
        <v>2</v>
      </c>
      <c r="N509">
        <v>0</v>
      </c>
      <c r="O509" t="s">
        <v>21</v>
      </c>
      <c r="P509" t="str" cm="1">
        <f t="array" ref="P5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0" spans="1:16">
      <c r="A510">
        <v>6550</v>
      </c>
      <c r="B510" t="s">
        <v>56</v>
      </c>
      <c r="C510" t="s">
        <v>52</v>
      </c>
      <c r="D510">
        <v>105.03</v>
      </c>
      <c r="E510">
        <v>13</v>
      </c>
      <c r="F510" t="s">
        <v>29</v>
      </c>
      <c r="G510" t="s">
        <v>24</v>
      </c>
      <c r="H510" t="s">
        <v>41</v>
      </c>
      <c r="I510" t="s">
        <v>31</v>
      </c>
      <c r="J510">
        <v>0</v>
      </c>
      <c r="K510">
        <v>0</v>
      </c>
      <c r="L510">
        <v>33</v>
      </c>
      <c r="M510">
        <v>1</v>
      </c>
      <c r="N510">
        <v>0</v>
      </c>
      <c r="O510" t="s">
        <v>21</v>
      </c>
      <c r="P510" t="str" cm="1">
        <f t="array" ref="P5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1" spans="1:16">
      <c r="A511">
        <v>6134</v>
      </c>
      <c r="B511" t="s">
        <v>22</v>
      </c>
      <c r="C511" t="s">
        <v>23</v>
      </c>
      <c r="D511">
        <v>14.52</v>
      </c>
      <c r="E511">
        <v>14</v>
      </c>
      <c r="F511" t="s">
        <v>19</v>
      </c>
      <c r="G511" t="s">
        <v>24</v>
      </c>
      <c r="H511" t="s">
        <v>35</v>
      </c>
      <c r="I511" t="s">
        <v>25</v>
      </c>
      <c r="J511">
        <v>0</v>
      </c>
      <c r="K511">
        <v>0</v>
      </c>
      <c r="L511">
        <v>74</v>
      </c>
      <c r="M511">
        <v>0</v>
      </c>
      <c r="N511">
        <v>0</v>
      </c>
      <c r="O511" t="s">
        <v>21</v>
      </c>
      <c r="P511" t="str" cm="1">
        <f t="array" ref="P5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2" spans="1:16">
      <c r="A512">
        <v>4038</v>
      </c>
      <c r="B512" t="s">
        <v>40</v>
      </c>
      <c r="C512" t="s">
        <v>33</v>
      </c>
      <c r="D512">
        <v>284.22000000000003</v>
      </c>
      <c r="E512">
        <v>20</v>
      </c>
      <c r="F512" t="s">
        <v>50</v>
      </c>
      <c r="G512" t="s">
        <v>24</v>
      </c>
      <c r="H512" t="s">
        <v>19</v>
      </c>
      <c r="I512" t="s">
        <v>20</v>
      </c>
      <c r="J512">
        <v>0</v>
      </c>
      <c r="K512">
        <v>0</v>
      </c>
      <c r="L512">
        <v>27</v>
      </c>
      <c r="M512">
        <v>2</v>
      </c>
      <c r="N512">
        <v>0</v>
      </c>
      <c r="O512" t="s">
        <v>21</v>
      </c>
      <c r="P512" t="str" cm="1">
        <f t="array" ref="P5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3" spans="1:16">
      <c r="A513">
        <v>7046</v>
      </c>
      <c r="B513" t="s">
        <v>32</v>
      </c>
      <c r="C513" t="s">
        <v>33</v>
      </c>
      <c r="D513">
        <v>86.94</v>
      </c>
      <c r="E513">
        <v>14</v>
      </c>
      <c r="F513" t="s">
        <v>29</v>
      </c>
      <c r="G513" t="s">
        <v>44</v>
      </c>
      <c r="H513" t="s">
        <v>48</v>
      </c>
      <c r="I513" t="s">
        <v>20</v>
      </c>
      <c r="J513">
        <v>0</v>
      </c>
      <c r="K513">
        <v>0</v>
      </c>
      <c r="L513">
        <v>52</v>
      </c>
      <c r="M513">
        <v>3</v>
      </c>
      <c r="N513">
        <v>0</v>
      </c>
      <c r="O513" t="s">
        <v>21</v>
      </c>
      <c r="P513" t="str" cm="1">
        <f t="array" ref="P5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4" spans="1:16">
      <c r="A514">
        <v>9955</v>
      </c>
      <c r="B514" t="s">
        <v>39</v>
      </c>
      <c r="C514" t="s">
        <v>28</v>
      </c>
      <c r="D514">
        <v>32.72</v>
      </c>
      <c r="E514">
        <v>5</v>
      </c>
      <c r="F514" t="s">
        <v>19</v>
      </c>
      <c r="G514" t="s">
        <v>53</v>
      </c>
      <c r="H514" t="s">
        <v>48</v>
      </c>
      <c r="I514" t="s">
        <v>25</v>
      </c>
      <c r="J514">
        <v>0</v>
      </c>
      <c r="K514">
        <v>0</v>
      </c>
      <c r="L514">
        <v>41</v>
      </c>
      <c r="M514">
        <v>0</v>
      </c>
      <c r="N514">
        <v>0</v>
      </c>
      <c r="O514" t="s">
        <v>21</v>
      </c>
      <c r="P514" t="str" cm="1">
        <f t="array" ref="P5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5" spans="1:16">
      <c r="A515">
        <v>9431</v>
      </c>
      <c r="B515" t="s">
        <v>32</v>
      </c>
      <c r="C515" t="s">
        <v>33</v>
      </c>
      <c r="D515">
        <v>311.58</v>
      </c>
      <c r="E515">
        <v>21</v>
      </c>
      <c r="F515" t="s">
        <v>19</v>
      </c>
      <c r="G515" t="s">
        <v>38</v>
      </c>
      <c r="H515" t="s">
        <v>19</v>
      </c>
      <c r="I515" t="s">
        <v>20</v>
      </c>
      <c r="J515">
        <v>1</v>
      </c>
      <c r="K515">
        <v>0</v>
      </c>
      <c r="L515">
        <v>66</v>
      </c>
      <c r="M515">
        <v>0</v>
      </c>
      <c r="N515">
        <v>0</v>
      </c>
      <c r="O515" t="s">
        <v>21</v>
      </c>
      <c r="P515" t="str" cm="1">
        <f t="array" ref="P5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6" spans="1:16">
      <c r="A516">
        <v>9540</v>
      </c>
      <c r="B516" t="s">
        <v>75</v>
      </c>
      <c r="C516" t="s">
        <v>16</v>
      </c>
      <c r="D516">
        <v>161.88</v>
      </c>
      <c r="E516">
        <v>0</v>
      </c>
      <c r="F516" t="s">
        <v>19</v>
      </c>
      <c r="G516" t="s">
        <v>38</v>
      </c>
      <c r="H516" t="s">
        <v>35</v>
      </c>
      <c r="I516" t="s">
        <v>20</v>
      </c>
      <c r="J516">
        <v>0</v>
      </c>
      <c r="K516">
        <v>0</v>
      </c>
      <c r="L516">
        <v>54</v>
      </c>
      <c r="M516">
        <v>2</v>
      </c>
      <c r="N516">
        <v>0</v>
      </c>
      <c r="O516" t="s">
        <v>21</v>
      </c>
      <c r="P516" t="str" cm="1">
        <f t="array" ref="P5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7" spans="1:16">
      <c r="A517">
        <v>5699</v>
      </c>
      <c r="B517" t="s">
        <v>62</v>
      </c>
      <c r="C517" t="s">
        <v>43</v>
      </c>
      <c r="D517">
        <v>745.34</v>
      </c>
      <c r="E517">
        <v>0</v>
      </c>
      <c r="F517" t="s">
        <v>50</v>
      </c>
      <c r="G517" t="s">
        <v>18</v>
      </c>
      <c r="H517" t="s">
        <v>35</v>
      </c>
      <c r="I517" t="s">
        <v>20</v>
      </c>
      <c r="J517">
        <v>1</v>
      </c>
      <c r="K517">
        <v>0</v>
      </c>
      <c r="L517">
        <v>76</v>
      </c>
      <c r="M517">
        <v>5</v>
      </c>
      <c r="N517">
        <v>1</v>
      </c>
      <c r="O517" t="s">
        <v>36</v>
      </c>
      <c r="P517" t="str" cm="1">
        <f t="array" ref="P51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18" spans="1:16">
      <c r="A518">
        <v>6676</v>
      </c>
      <c r="B518" t="s">
        <v>63</v>
      </c>
      <c r="C518" t="s">
        <v>28</v>
      </c>
      <c r="D518">
        <v>352.29</v>
      </c>
      <c r="E518">
        <v>18</v>
      </c>
      <c r="F518" t="s">
        <v>19</v>
      </c>
      <c r="G518" t="s">
        <v>18</v>
      </c>
      <c r="H518" t="s">
        <v>35</v>
      </c>
      <c r="I518" t="s">
        <v>31</v>
      </c>
      <c r="J518">
        <v>0</v>
      </c>
      <c r="K518">
        <v>0</v>
      </c>
      <c r="L518">
        <v>61</v>
      </c>
      <c r="M518">
        <v>0</v>
      </c>
      <c r="N518">
        <v>0</v>
      </c>
      <c r="O518" t="s">
        <v>21</v>
      </c>
      <c r="P518" t="str" cm="1">
        <f t="array" ref="P5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19" spans="1:16">
      <c r="A519">
        <v>3009</v>
      </c>
      <c r="B519" t="s">
        <v>49</v>
      </c>
      <c r="C519" t="s">
        <v>16</v>
      </c>
      <c r="D519">
        <v>201.77</v>
      </c>
      <c r="E519">
        <v>0</v>
      </c>
      <c r="F519" t="s">
        <v>19</v>
      </c>
      <c r="G519" t="s">
        <v>18</v>
      </c>
      <c r="H519" t="s">
        <v>35</v>
      </c>
      <c r="I519" t="s">
        <v>31</v>
      </c>
      <c r="J519">
        <v>1</v>
      </c>
      <c r="K519">
        <v>1</v>
      </c>
      <c r="L519">
        <v>43</v>
      </c>
      <c r="M519">
        <v>1</v>
      </c>
      <c r="N519">
        <v>1</v>
      </c>
      <c r="O519" t="s">
        <v>36</v>
      </c>
      <c r="P519" t="str" cm="1">
        <f t="array" ref="P5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0" spans="1:16">
      <c r="A520">
        <v>444</v>
      </c>
      <c r="B520" t="s">
        <v>22</v>
      </c>
      <c r="C520" t="s">
        <v>23</v>
      </c>
      <c r="D520">
        <v>83.35</v>
      </c>
      <c r="E520">
        <v>0</v>
      </c>
      <c r="F520" t="s">
        <v>34</v>
      </c>
      <c r="G520" t="s">
        <v>44</v>
      </c>
      <c r="H520" t="s">
        <v>30</v>
      </c>
      <c r="I520" t="s">
        <v>20</v>
      </c>
      <c r="J520">
        <v>1</v>
      </c>
      <c r="K520">
        <v>0</v>
      </c>
      <c r="L520">
        <v>30</v>
      </c>
      <c r="M520">
        <v>2</v>
      </c>
      <c r="N520">
        <v>1</v>
      </c>
      <c r="O520" t="s">
        <v>36</v>
      </c>
      <c r="P520" t="str" cm="1">
        <f t="array" ref="P5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1" spans="1:16">
      <c r="A521">
        <v>3202</v>
      </c>
      <c r="B521" t="s">
        <v>56</v>
      </c>
      <c r="C521" t="s">
        <v>52</v>
      </c>
      <c r="D521">
        <v>125.9</v>
      </c>
      <c r="E521">
        <v>0</v>
      </c>
      <c r="F521" t="s">
        <v>29</v>
      </c>
      <c r="G521" t="s">
        <v>24</v>
      </c>
      <c r="H521" t="s">
        <v>48</v>
      </c>
      <c r="I521" t="s">
        <v>31</v>
      </c>
      <c r="J521">
        <v>1</v>
      </c>
      <c r="K521">
        <v>0</v>
      </c>
      <c r="L521">
        <v>45</v>
      </c>
      <c r="M521">
        <v>5</v>
      </c>
      <c r="N521">
        <v>1</v>
      </c>
      <c r="O521" t="s">
        <v>36</v>
      </c>
      <c r="P521" t="str" cm="1">
        <f t="array" ref="P5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2" spans="1:16">
      <c r="A522">
        <v>3207</v>
      </c>
      <c r="B522" t="s">
        <v>60</v>
      </c>
      <c r="C522" t="s">
        <v>23</v>
      </c>
      <c r="D522">
        <v>352.32</v>
      </c>
      <c r="E522">
        <v>2</v>
      </c>
      <c r="F522" t="s">
        <v>50</v>
      </c>
      <c r="G522" t="s">
        <v>44</v>
      </c>
      <c r="H522" t="s">
        <v>41</v>
      </c>
      <c r="I522" t="s">
        <v>20</v>
      </c>
      <c r="J522">
        <v>1</v>
      </c>
      <c r="K522">
        <v>0</v>
      </c>
      <c r="L522">
        <v>31</v>
      </c>
      <c r="M522">
        <v>2</v>
      </c>
      <c r="N522">
        <v>1</v>
      </c>
      <c r="O522" t="s">
        <v>36</v>
      </c>
      <c r="P522" t="str" cm="1">
        <f t="array" ref="P5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3" spans="1:16">
      <c r="A523">
        <v>1038</v>
      </c>
      <c r="B523" t="s">
        <v>22</v>
      </c>
      <c r="C523" t="s">
        <v>23</v>
      </c>
      <c r="D523">
        <v>232.22</v>
      </c>
      <c r="E523">
        <v>12</v>
      </c>
      <c r="F523" t="s">
        <v>29</v>
      </c>
      <c r="G523" t="s">
        <v>24</v>
      </c>
      <c r="H523" t="s">
        <v>48</v>
      </c>
      <c r="I523" t="s">
        <v>20</v>
      </c>
      <c r="J523">
        <v>0</v>
      </c>
      <c r="K523">
        <v>1</v>
      </c>
      <c r="L523">
        <v>44</v>
      </c>
      <c r="M523">
        <v>1</v>
      </c>
      <c r="N523">
        <v>0</v>
      </c>
      <c r="O523" t="s">
        <v>21</v>
      </c>
      <c r="P523" t="str" cm="1">
        <f t="array" ref="P5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4" spans="1:16">
      <c r="A524">
        <v>4187</v>
      </c>
      <c r="B524" t="s">
        <v>57</v>
      </c>
      <c r="C524" t="s">
        <v>43</v>
      </c>
      <c r="D524">
        <v>24.72</v>
      </c>
      <c r="E524">
        <v>4</v>
      </c>
      <c r="F524" t="s">
        <v>34</v>
      </c>
      <c r="G524" t="s">
        <v>53</v>
      </c>
      <c r="H524" t="s">
        <v>30</v>
      </c>
      <c r="I524" t="s">
        <v>20</v>
      </c>
      <c r="J524">
        <v>0</v>
      </c>
      <c r="K524">
        <v>0</v>
      </c>
      <c r="L524">
        <v>52</v>
      </c>
      <c r="M524">
        <v>2</v>
      </c>
      <c r="N524">
        <v>0</v>
      </c>
      <c r="O524" t="s">
        <v>21</v>
      </c>
      <c r="P524" t="str" cm="1">
        <f t="array" ref="P5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5" spans="1:16">
      <c r="A525">
        <v>9258</v>
      </c>
      <c r="B525" t="s">
        <v>40</v>
      </c>
      <c r="C525" t="s">
        <v>33</v>
      </c>
      <c r="D525">
        <v>33.340000000000003</v>
      </c>
      <c r="E525">
        <v>3</v>
      </c>
      <c r="F525" t="s">
        <v>50</v>
      </c>
      <c r="G525" t="s">
        <v>44</v>
      </c>
      <c r="H525" t="s">
        <v>30</v>
      </c>
      <c r="I525" t="s">
        <v>20</v>
      </c>
      <c r="J525">
        <v>1</v>
      </c>
      <c r="K525">
        <v>1</v>
      </c>
      <c r="L525">
        <v>33</v>
      </c>
      <c r="M525">
        <v>4</v>
      </c>
      <c r="N525">
        <v>1</v>
      </c>
      <c r="O525" t="s">
        <v>36</v>
      </c>
      <c r="P525" t="str" cm="1">
        <f t="array" ref="P5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6" spans="1:16">
      <c r="A526">
        <v>7095</v>
      </c>
      <c r="B526" t="s">
        <v>46</v>
      </c>
      <c r="C526" t="s">
        <v>23</v>
      </c>
      <c r="D526">
        <v>79.41</v>
      </c>
      <c r="E526">
        <v>23</v>
      </c>
      <c r="F526" t="s">
        <v>19</v>
      </c>
      <c r="G526" t="s">
        <v>38</v>
      </c>
      <c r="H526" t="s">
        <v>35</v>
      </c>
      <c r="I526" t="s">
        <v>20</v>
      </c>
      <c r="J526">
        <v>0</v>
      </c>
      <c r="K526">
        <v>0</v>
      </c>
      <c r="L526">
        <v>66</v>
      </c>
      <c r="M526">
        <v>1</v>
      </c>
      <c r="N526">
        <v>0</v>
      </c>
      <c r="O526" t="s">
        <v>21</v>
      </c>
      <c r="P526" t="str" cm="1">
        <f t="array" ref="P5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7" spans="1:16">
      <c r="A527">
        <v>3669</v>
      </c>
      <c r="B527" t="s">
        <v>37</v>
      </c>
      <c r="C527" t="s">
        <v>16</v>
      </c>
      <c r="D527">
        <v>4.55</v>
      </c>
      <c r="E527">
        <v>20</v>
      </c>
      <c r="F527" t="s">
        <v>17</v>
      </c>
      <c r="G527" t="s">
        <v>24</v>
      </c>
      <c r="H527" t="s">
        <v>19</v>
      </c>
      <c r="I527" t="s">
        <v>26</v>
      </c>
      <c r="J527">
        <v>0</v>
      </c>
      <c r="K527">
        <v>0</v>
      </c>
      <c r="L527">
        <v>42</v>
      </c>
      <c r="M527">
        <v>1</v>
      </c>
      <c r="N527">
        <v>0</v>
      </c>
      <c r="O527" t="s">
        <v>21</v>
      </c>
      <c r="P527" t="str" cm="1">
        <f t="array" ref="P52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8" spans="1:16">
      <c r="A528">
        <v>9081</v>
      </c>
      <c r="B528" t="s">
        <v>32</v>
      </c>
      <c r="C528" t="s">
        <v>33</v>
      </c>
      <c r="D528">
        <v>74.239999999999995</v>
      </c>
      <c r="E528">
        <v>21</v>
      </c>
      <c r="F528" t="s">
        <v>50</v>
      </c>
      <c r="G528" t="s">
        <v>24</v>
      </c>
      <c r="H528" t="s">
        <v>30</v>
      </c>
      <c r="I528" t="s">
        <v>20</v>
      </c>
      <c r="J528">
        <v>0</v>
      </c>
      <c r="K528">
        <v>0</v>
      </c>
      <c r="L528">
        <v>41</v>
      </c>
      <c r="M528">
        <v>1</v>
      </c>
      <c r="N528">
        <v>0</v>
      </c>
      <c r="O528" t="s">
        <v>21</v>
      </c>
      <c r="P528" t="str" cm="1">
        <f t="array" ref="P5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29" spans="1:16">
      <c r="A529">
        <v>7940</v>
      </c>
      <c r="B529" t="s">
        <v>68</v>
      </c>
      <c r="C529" t="s">
        <v>43</v>
      </c>
      <c r="D529">
        <v>116.11</v>
      </c>
      <c r="E529">
        <v>14</v>
      </c>
      <c r="F529" t="s">
        <v>34</v>
      </c>
      <c r="G529" t="s">
        <v>44</v>
      </c>
      <c r="H529" t="s">
        <v>35</v>
      </c>
      <c r="I529" t="s">
        <v>20</v>
      </c>
      <c r="J529">
        <v>0</v>
      </c>
      <c r="K529">
        <v>0</v>
      </c>
      <c r="L529">
        <v>33</v>
      </c>
      <c r="M529">
        <v>1</v>
      </c>
      <c r="N529">
        <v>0</v>
      </c>
      <c r="O529" t="s">
        <v>21</v>
      </c>
      <c r="P529" t="str" cm="1">
        <f t="array" ref="P5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0" spans="1:16">
      <c r="A530">
        <v>1732</v>
      </c>
      <c r="B530" t="s">
        <v>59</v>
      </c>
      <c r="C530" t="s">
        <v>16</v>
      </c>
      <c r="D530">
        <v>176.02</v>
      </c>
      <c r="E530">
        <v>5</v>
      </c>
      <c r="F530" t="s">
        <v>19</v>
      </c>
      <c r="G530" t="s">
        <v>24</v>
      </c>
      <c r="H530" t="s">
        <v>35</v>
      </c>
      <c r="I530" t="s">
        <v>20</v>
      </c>
      <c r="J530">
        <v>0</v>
      </c>
      <c r="K530">
        <v>0</v>
      </c>
      <c r="L530">
        <v>60</v>
      </c>
      <c r="M530">
        <v>2</v>
      </c>
      <c r="N530">
        <v>0</v>
      </c>
      <c r="O530" t="s">
        <v>21</v>
      </c>
      <c r="P530" t="str" cm="1">
        <f t="array" ref="P5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1" spans="1:16">
      <c r="A531">
        <v>2376</v>
      </c>
      <c r="B531" t="s">
        <v>47</v>
      </c>
      <c r="C531" t="s">
        <v>16</v>
      </c>
      <c r="D531">
        <v>57.98</v>
      </c>
      <c r="E531">
        <v>14</v>
      </c>
      <c r="F531" t="s">
        <v>50</v>
      </c>
      <c r="G531" t="s">
        <v>24</v>
      </c>
      <c r="H531" t="s">
        <v>35</v>
      </c>
      <c r="I531" t="s">
        <v>31</v>
      </c>
      <c r="J531">
        <v>0</v>
      </c>
      <c r="K531">
        <v>0</v>
      </c>
      <c r="L531">
        <v>39</v>
      </c>
      <c r="M531">
        <v>3</v>
      </c>
      <c r="N531">
        <v>0</v>
      </c>
      <c r="O531" t="s">
        <v>21</v>
      </c>
      <c r="P531" t="str" cm="1">
        <f t="array" ref="P5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2" spans="1:16">
      <c r="A532">
        <v>3040</v>
      </c>
      <c r="B532" t="s">
        <v>27</v>
      </c>
      <c r="C532" t="s">
        <v>28</v>
      </c>
      <c r="D532">
        <v>131.63</v>
      </c>
      <c r="E532">
        <v>20</v>
      </c>
      <c r="F532" t="s">
        <v>29</v>
      </c>
      <c r="G532" t="s">
        <v>18</v>
      </c>
      <c r="H532" t="s">
        <v>30</v>
      </c>
      <c r="I532" t="s">
        <v>26</v>
      </c>
      <c r="J532">
        <v>0</v>
      </c>
      <c r="K532">
        <v>0</v>
      </c>
      <c r="L532">
        <v>35</v>
      </c>
      <c r="M532">
        <v>1</v>
      </c>
      <c r="N532">
        <v>0</v>
      </c>
      <c r="O532" t="s">
        <v>21</v>
      </c>
      <c r="P532" t="str" cm="1">
        <f t="array" ref="P5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3" spans="1:16">
      <c r="A533">
        <v>7679</v>
      </c>
      <c r="B533" t="s">
        <v>27</v>
      </c>
      <c r="C533" t="s">
        <v>28</v>
      </c>
      <c r="D533">
        <v>13.75</v>
      </c>
      <c r="E533">
        <v>9</v>
      </c>
      <c r="F533" t="s">
        <v>19</v>
      </c>
      <c r="G533" t="s">
        <v>53</v>
      </c>
      <c r="H533" t="s">
        <v>35</v>
      </c>
      <c r="I533" t="s">
        <v>31</v>
      </c>
      <c r="J533">
        <v>0</v>
      </c>
      <c r="K533">
        <v>0</v>
      </c>
      <c r="L533">
        <v>91</v>
      </c>
      <c r="M533">
        <v>2</v>
      </c>
      <c r="N533">
        <v>0</v>
      </c>
      <c r="O533" t="s">
        <v>21</v>
      </c>
      <c r="P533" t="str" cm="1">
        <f t="array" ref="P5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4" spans="1:16">
      <c r="A534">
        <v>6019</v>
      </c>
      <c r="B534" t="s">
        <v>40</v>
      </c>
      <c r="C534" t="s">
        <v>33</v>
      </c>
      <c r="D534">
        <v>142.24</v>
      </c>
      <c r="E534">
        <v>18</v>
      </c>
      <c r="F534" t="s">
        <v>17</v>
      </c>
      <c r="G534" t="s">
        <v>38</v>
      </c>
      <c r="H534" t="s">
        <v>30</v>
      </c>
      <c r="I534" t="s">
        <v>26</v>
      </c>
      <c r="J534">
        <v>0</v>
      </c>
      <c r="K534">
        <v>0</v>
      </c>
      <c r="L534">
        <v>59</v>
      </c>
      <c r="M534">
        <v>2</v>
      </c>
      <c r="N534">
        <v>0</v>
      </c>
      <c r="O534" t="s">
        <v>21</v>
      </c>
      <c r="P534" t="str" cm="1">
        <f t="array" ref="P5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5" spans="1:16">
      <c r="A535">
        <v>192</v>
      </c>
      <c r="B535" t="s">
        <v>40</v>
      </c>
      <c r="C535" t="s">
        <v>33</v>
      </c>
      <c r="D535">
        <v>409.52</v>
      </c>
      <c r="E535">
        <v>14</v>
      </c>
      <c r="F535" t="s">
        <v>50</v>
      </c>
      <c r="G535" t="s">
        <v>24</v>
      </c>
      <c r="H535" t="s">
        <v>41</v>
      </c>
      <c r="I535" t="s">
        <v>31</v>
      </c>
      <c r="J535">
        <v>0</v>
      </c>
      <c r="K535">
        <v>0</v>
      </c>
      <c r="L535">
        <v>55</v>
      </c>
      <c r="M535">
        <v>2</v>
      </c>
      <c r="N535">
        <v>0</v>
      </c>
      <c r="O535" t="s">
        <v>21</v>
      </c>
      <c r="P535" t="str" cm="1">
        <f t="array" ref="P5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6" spans="1:16">
      <c r="A536">
        <v>7362</v>
      </c>
      <c r="B536" t="s">
        <v>57</v>
      </c>
      <c r="C536" t="s">
        <v>43</v>
      </c>
      <c r="D536">
        <v>108.87</v>
      </c>
      <c r="E536">
        <v>9</v>
      </c>
      <c r="F536" t="s">
        <v>29</v>
      </c>
      <c r="G536" t="s">
        <v>18</v>
      </c>
      <c r="H536" t="s">
        <v>48</v>
      </c>
      <c r="I536" t="s">
        <v>20</v>
      </c>
      <c r="J536">
        <v>0</v>
      </c>
      <c r="K536">
        <v>0</v>
      </c>
      <c r="L536">
        <v>88</v>
      </c>
      <c r="M536">
        <v>4</v>
      </c>
      <c r="N536">
        <v>0</v>
      </c>
      <c r="O536" t="s">
        <v>21</v>
      </c>
      <c r="P536" t="str" cm="1">
        <f t="array" ref="P5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7" spans="1:16">
      <c r="A537">
        <v>7793</v>
      </c>
      <c r="B537" t="s">
        <v>32</v>
      </c>
      <c r="C537" t="s">
        <v>33</v>
      </c>
      <c r="D537">
        <v>100.83</v>
      </c>
      <c r="E537">
        <v>11</v>
      </c>
      <c r="F537" t="s">
        <v>34</v>
      </c>
      <c r="G537" t="s">
        <v>24</v>
      </c>
      <c r="H537" t="s">
        <v>41</v>
      </c>
      <c r="I537" t="s">
        <v>26</v>
      </c>
      <c r="J537">
        <v>0</v>
      </c>
      <c r="K537">
        <v>0</v>
      </c>
      <c r="L537">
        <v>70</v>
      </c>
      <c r="M537">
        <v>1</v>
      </c>
      <c r="N537">
        <v>0</v>
      </c>
      <c r="O537" t="s">
        <v>21</v>
      </c>
      <c r="P537" t="str" cm="1">
        <f t="array" ref="P5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8" spans="1:16">
      <c r="A538">
        <v>9541</v>
      </c>
      <c r="B538" t="s">
        <v>15</v>
      </c>
      <c r="C538" t="s">
        <v>16</v>
      </c>
      <c r="D538">
        <v>37.21</v>
      </c>
      <c r="E538">
        <v>10</v>
      </c>
      <c r="F538" t="s">
        <v>29</v>
      </c>
      <c r="G538" t="s">
        <v>24</v>
      </c>
      <c r="H538" t="s">
        <v>35</v>
      </c>
      <c r="I538" t="s">
        <v>26</v>
      </c>
      <c r="J538">
        <v>0</v>
      </c>
      <c r="K538">
        <v>0</v>
      </c>
      <c r="L538">
        <v>75</v>
      </c>
      <c r="M538">
        <v>1</v>
      </c>
      <c r="N538">
        <v>0</v>
      </c>
      <c r="O538" t="s">
        <v>21</v>
      </c>
      <c r="P538" t="str" cm="1">
        <f t="array" ref="P5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39" spans="1:16">
      <c r="A539">
        <v>7372</v>
      </c>
      <c r="B539" t="s">
        <v>64</v>
      </c>
      <c r="C539" t="s">
        <v>23</v>
      </c>
      <c r="D539">
        <v>180.56</v>
      </c>
      <c r="E539">
        <v>22</v>
      </c>
      <c r="F539" t="s">
        <v>17</v>
      </c>
      <c r="G539" t="s">
        <v>24</v>
      </c>
      <c r="H539" t="s">
        <v>25</v>
      </c>
      <c r="I539" t="s">
        <v>20</v>
      </c>
      <c r="J539">
        <v>0</v>
      </c>
      <c r="K539">
        <v>0</v>
      </c>
      <c r="L539">
        <v>61</v>
      </c>
      <c r="M539">
        <v>1</v>
      </c>
      <c r="N539">
        <v>0</v>
      </c>
      <c r="O539" t="s">
        <v>21</v>
      </c>
      <c r="P539" t="str" cm="1">
        <f t="array" ref="P5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0" spans="1:16">
      <c r="A540">
        <v>4622</v>
      </c>
      <c r="B540" t="s">
        <v>65</v>
      </c>
      <c r="C540" t="s">
        <v>16</v>
      </c>
      <c r="D540">
        <v>260.39999999999998</v>
      </c>
      <c r="E540">
        <v>17</v>
      </c>
      <c r="F540" t="s">
        <v>29</v>
      </c>
      <c r="G540" t="s">
        <v>24</v>
      </c>
      <c r="H540" t="s">
        <v>41</v>
      </c>
      <c r="I540" t="s">
        <v>31</v>
      </c>
      <c r="J540">
        <v>0</v>
      </c>
      <c r="K540">
        <v>0</v>
      </c>
      <c r="L540">
        <v>53</v>
      </c>
      <c r="M540">
        <v>2</v>
      </c>
      <c r="N540">
        <v>0</v>
      </c>
      <c r="O540" t="s">
        <v>21</v>
      </c>
      <c r="P540" t="str" cm="1">
        <f t="array" ref="P5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1" spans="1:16">
      <c r="A541">
        <v>6580</v>
      </c>
      <c r="B541" t="s">
        <v>54</v>
      </c>
      <c r="C541" t="s">
        <v>28</v>
      </c>
      <c r="D541">
        <v>151.46</v>
      </c>
      <c r="E541">
        <v>21</v>
      </c>
      <c r="F541" t="s">
        <v>19</v>
      </c>
      <c r="G541" t="s">
        <v>44</v>
      </c>
      <c r="H541" t="s">
        <v>41</v>
      </c>
      <c r="I541" t="s">
        <v>26</v>
      </c>
      <c r="J541">
        <v>0</v>
      </c>
      <c r="K541">
        <v>1</v>
      </c>
      <c r="L541">
        <v>65</v>
      </c>
      <c r="M541">
        <v>1</v>
      </c>
      <c r="N541">
        <v>0</v>
      </c>
      <c r="O541" t="s">
        <v>21</v>
      </c>
      <c r="P541" t="str" cm="1">
        <f t="array" ref="P5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2" spans="1:16">
      <c r="A542">
        <v>555</v>
      </c>
      <c r="B542" t="s">
        <v>60</v>
      </c>
      <c r="C542" t="s">
        <v>23</v>
      </c>
      <c r="D542">
        <v>376.7</v>
      </c>
      <c r="E542">
        <v>18</v>
      </c>
      <c r="F542" t="s">
        <v>29</v>
      </c>
      <c r="G542" t="s">
        <v>38</v>
      </c>
      <c r="H542" t="s">
        <v>30</v>
      </c>
      <c r="I542" t="s">
        <v>31</v>
      </c>
      <c r="J542">
        <v>0</v>
      </c>
      <c r="K542">
        <v>0</v>
      </c>
      <c r="L542">
        <v>48</v>
      </c>
      <c r="M542">
        <v>2</v>
      </c>
      <c r="N542">
        <v>0</v>
      </c>
      <c r="O542" t="s">
        <v>21</v>
      </c>
      <c r="P542" t="str" cm="1">
        <f t="array" ref="P5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3" spans="1:16">
      <c r="A543">
        <v>1422</v>
      </c>
      <c r="B543" t="s">
        <v>76</v>
      </c>
      <c r="C543" t="s">
        <v>43</v>
      </c>
      <c r="D543">
        <v>127.39</v>
      </c>
      <c r="E543">
        <v>5</v>
      </c>
      <c r="F543" t="s">
        <v>29</v>
      </c>
      <c r="G543" t="s">
        <v>18</v>
      </c>
      <c r="H543" t="s">
        <v>35</v>
      </c>
      <c r="I543" t="s">
        <v>25</v>
      </c>
      <c r="J543">
        <v>0</v>
      </c>
      <c r="K543">
        <v>0</v>
      </c>
      <c r="L543">
        <v>30</v>
      </c>
      <c r="M543">
        <v>1</v>
      </c>
      <c r="N543">
        <v>0</v>
      </c>
      <c r="O543" t="s">
        <v>21</v>
      </c>
      <c r="P543" t="str" cm="1">
        <f t="array" ref="P5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4" spans="1:16">
      <c r="A544">
        <v>8041</v>
      </c>
      <c r="B544" t="s">
        <v>72</v>
      </c>
      <c r="C544" t="s">
        <v>16</v>
      </c>
      <c r="D544">
        <v>701.79</v>
      </c>
      <c r="E544">
        <v>2</v>
      </c>
      <c r="F544" t="s">
        <v>19</v>
      </c>
      <c r="G544" t="s">
        <v>53</v>
      </c>
      <c r="H544" t="s">
        <v>30</v>
      </c>
      <c r="I544" t="s">
        <v>20</v>
      </c>
      <c r="J544">
        <v>1</v>
      </c>
      <c r="K544">
        <v>1</v>
      </c>
      <c r="L544">
        <v>94</v>
      </c>
      <c r="M544">
        <v>1</v>
      </c>
      <c r="N544">
        <v>1</v>
      </c>
      <c r="O544" t="s">
        <v>36</v>
      </c>
      <c r="P544" t="str" cm="1">
        <f t="array" ref="P544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45" spans="1:16">
      <c r="A545">
        <v>4539</v>
      </c>
      <c r="B545" t="s">
        <v>37</v>
      </c>
      <c r="C545" t="s">
        <v>16</v>
      </c>
      <c r="D545">
        <v>15.32</v>
      </c>
      <c r="E545">
        <v>15</v>
      </c>
      <c r="F545" t="s">
        <v>29</v>
      </c>
      <c r="G545" t="s">
        <v>44</v>
      </c>
      <c r="H545" t="s">
        <v>48</v>
      </c>
      <c r="I545" t="s">
        <v>20</v>
      </c>
      <c r="J545">
        <v>0</v>
      </c>
      <c r="K545">
        <v>0</v>
      </c>
      <c r="L545">
        <v>55</v>
      </c>
      <c r="M545">
        <v>0</v>
      </c>
      <c r="N545">
        <v>0</v>
      </c>
      <c r="O545" t="s">
        <v>21</v>
      </c>
      <c r="P545" t="str" cm="1">
        <f t="array" ref="P54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6" spans="1:16">
      <c r="A546">
        <v>5494</v>
      </c>
      <c r="B546" t="s">
        <v>45</v>
      </c>
      <c r="C546" t="s">
        <v>28</v>
      </c>
      <c r="D546">
        <v>57.8</v>
      </c>
      <c r="E546">
        <v>9</v>
      </c>
      <c r="F546" t="s">
        <v>50</v>
      </c>
      <c r="G546" t="s">
        <v>44</v>
      </c>
      <c r="H546" t="s">
        <v>19</v>
      </c>
      <c r="I546" t="s">
        <v>20</v>
      </c>
      <c r="J546">
        <v>0</v>
      </c>
      <c r="K546">
        <v>0</v>
      </c>
      <c r="L546">
        <v>26</v>
      </c>
      <c r="M546">
        <v>1</v>
      </c>
      <c r="N546">
        <v>0</v>
      </c>
      <c r="O546" t="s">
        <v>21</v>
      </c>
      <c r="P546" t="str" cm="1">
        <f t="array" ref="P5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7" spans="1:16">
      <c r="A547">
        <v>3557</v>
      </c>
      <c r="B547" t="s">
        <v>40</v>
      </c>
      <c r="C547" t="s">
        <v>33</v>
      </c>
      <c r="D547">
        <v>57.55</v>
      </c>
      <c r="E547">
        <v>18</v>
      </c>
      <c r="F547" t="s">
        <v>29</v>
      </c>
      <c r="G547" t="s">
        <v>24</v>
      </c>
      <c r="H547" t="s">
        <v>35</v>
      </c>
      <c r="I547" t="s">
        <v>20</v>
      </c>
      <c r="J547">
        <v>0</v>
      </c>
      <c r="K547">
        <v>0</v>
      </c>
      <c r="L547">
        <v>36</v>
      </c>
      <c r="M547">
        <v>2</v>
      </c>
      <c r="N547">
        <v>0</v>
      </c>
      <c r="O547" t="s">
        <v>21</v>
      </c>
      <c r="P547" t="str" cm="1">
        <f t="array" ref="P5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48" spans="1:16">
      <c r="A548">
        <v>4439</v>
      </c>
      <c r="B548" t="s">
        <v>63</v>
      </c>
      <c r="C548" t="s">
        <v>28</v>
      </c>
      <c r="D548">
        <v>881.06</v>
      </c>
      <c r="E548">
        <v>11</v>
      </c>
      <c r="F548" t="s">
        <v>29</v>
      </c>
      <c r="G548" t="s">
        <v>18</v>
      </c>
      <c r="H548" t="s">
        <v>48</v>
      </c>
      <c r="I548" t="s">
        <v>26</v>
      </c>
      <c r="J548">
        <v>0</v>
      </c>
      <c r="K548">
        <v>0</v>
      </c>
      <c r="L548">
        <v>56</v>
      </c>
      <c r="M548">
        <v>2</v>
      </c>
      <c r="N548">
        <v>0</v>
      </c>
      <c r="O548" t="s">
        <v>21</v>
      </c>
      <c r="P548" t="str" cm="1">
        <f t="array" ref="P548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49" spans="1:16">
      <c r="A549">
        <v>9197</v>
      </c>
      <c r="B549" t="s">
        <v>40</v>
      </c>
      <c r="C549" t="s">
        <v>33</v>
      </c>
      <c r="D549">
        <v>241.63</v>
      </c>
      <c r="E549">
        <v>1</v>
      </c>
      <c r="F549" t="s">
        <v>19</v>
      </c>
      <c r="G549" t="s">
        <v>24</v>
      </c>
      <c r="H549" t="s">
        <v>48</v>
      </c>
      <c r="I549" t="s">
        <v>20</v>
      </c>
      <c r="J549">
        <v>0</v>
      </c>
      <c r="K549">
        <v>0</v>
      </c>
      <c r="L549">
        <v>80</v>
      </c>
      <c r="M549">
        <v>2</v>
      </c>
      <c r="N549">
        <v>0</v>
      </c>
      <c r="O549" t="s">
        <v>21</v>
      </c>
      <c r="P549" t="str" cm="1">
        <f t="array" ref="P5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0" spans="1:16">
      <c r="A550">
        <v>9061</v>
      </c>
      <c r="B550" t="s">
        <v>63</v>
      </c>
      <c r="C550" t="s">
        <v>28</v>
      </c>
      <c r="D550">
        <v>460.34</v>
      </c>
      <c r="E550">
        <v>22</v>
      </c>
      <c r="F550" t="s">
        <v>34</v>
      </c>
      <c r="G550" t="s">
        <v>18</v>
      </c>
      <c r="H550" t="s">
        <v>35</v>
      </c>
      <c r="I550" t="s">
        <v>31</v>
      </c>
      <c r="J550">
        <v>0</v>
      </c>
      <c r="K550">
        <v>0</v>
      </c>
      <c r="L550">
        <v>88</v>
      </c>
      <c r="M550">
        <v>3</v>
      </c>
      <c r="N550">
        <v>0</v>
      </c>
      <c r="O550" t="s">
        <v>21</v>
      </c>
      <c r="P550" t="str" cm="1">
        <f t="array" ref="P5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1" spans="1:16">
      <c r="A551">
        <v>7657</v>
      </c>
      <c r="B551" t="s">
        <v>37</v>
      </c>
      <c r="C551" t="s">
        <v>16</v>
      </c>
      <c r="D551">
        <v>226.79</v>
      </c>
      <c r="E551">
        <v>2</v>
      </c>
      <c r="F551" t="s">
        <v>34</v>
      </c>
      <c r="G551" t="s">
        <v>18</v>
      </c>
      <c r="H551" t="s">
        <v>25</v>
      </c>
      <c r="I551" t="s">
        <v>20</v>
      </c>
      <c r="J551">
        <v>1</v>
      </c>
      <c r="K551">
        <v>1</v>
      </c>
      <c r="L551">
        <v>91</v>
      </c>
      <c r="M551">
        <v>3</v>
      </c>
      <c r="N551">
        <v>1</v>
      </c>
      <c r="O551" t="s">
        <v>36</v>
      </c>
      <c r="P551" t="str" cm="1">
        <f t="array" ref="P5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2" spans="1:16">
      <c r="A552">
        <v>1758</v>
      </c>
      <c r="B552" t="s">
        <v>54</v>
      </c>
      <c r="C552" t="s">
        <v>28</v>
      </c>
      <c r="D552">
        <v>120.45</v>
      </c>
      <c r="E552">
        <v>14</v>
      </c>
      <c r="F552" t="s">
        <v>17</v>
      </c>
      <c r="G552" t="s">
        <v>18</v>
      </c>
      <c r="H552" t="s">
        <v>41</v>
      </c>
      <c r="I552" t="s">
        <v>20</v>
      </c>
      <c r="J552">
        <v>0</v>
      </c>
      <c r="K552">
        <v>0</v>
      </c>
      <c r="L552">
        <v>47</v>
      </c>
      <c r="M552">
        <v>3</v>
      </c>
      <c r="N552">
        <v>0</v>
      </c>
      <c r="O552" t="s">
        <v>21</v>
      </c>
      <c r="P552" t="str" cm="1">
        <f t="array" ref="P5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3" spans="1:16">
      <c r="A553">
        <v>6930</v>
      </c>
      <c r="B553" t="s">
        <v>63</v>
      </c>
      <c r="C553" t="s">
        <v>28</v>
      </c>
      <c r="D553">
        <v>182.97</v>
      </c>
      <c r="E553">
        <v>17</v>
      </c>
      <c r="F553" t="s">
        <v>17</v>
      </c>
      <c r="G553" t="s">
        <v>24</v>
      </c>
      <c r="H553" t="s">
        <v>25</v>
      </c>
      <c r="I553" t="s">
        <v>26</v>
      </c>
      <c r="J553">
        <v>0</v>
      </c>
      <c r="K553">
        <v>0</v>
      </c>
      <c r="L553">
        <v>58</v>
      </c>
      <c r="M553">
        <v>3</v>
      </c>
      <c r="N553">
        <v>0</v>
      </c>
      <c r="O553" t="s">
        <v>21</v>
      </c>
      <c r="P553" t="str" cm="1">
        <f t="array" ref="P5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4" spans="1:16">
      <c r="A554">
        <v>3994</v>
      </c>
      <c r="B554" t="s">
        <v>63</v>
      </c>
      <c r="C554" t="s">
        <v>28</v>
      </c>
      <c r="D554">
        <v>9.48</v>
      </c>
      <c r="E554">
        <v>17</v>
      </c>
      <c r="F554" t="s">
        <v>19</v>
      </c>
      <c r="G554" t="s">
        <v>53</v>
      </c>
      <c r="H554" t="s">
        <v>41</v>
      </c>
      <c r="I554" t="s">
        <v>20</v>
      </c>
      <c r="J554">
        <v>0</v>
      </c>
      <c r="K554">
        <v>0</v>
      </c>
      <c r="L554">
        <v>45</v>
      </c>
      <c r="M554">
        <v>1</v>
      </c>
      <c r="N554">
        <v>0</v>
      </c>
      <c r="O554" t="s">
        <v>21</v>
      </c>
      <c r="P554" t="str" cm="1">
        <f t="array" ref="P5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5" spans="1:16">
      <c r="A555">
        <v>5039</v>
      </c>
      <c r="B555" t="s">
        <v>45</v>
      </c>
      <c r="C555" t="s">
        <v>28</v>
      </c>
      <c r="D555">
        <v>234.11</v>
      </c>
      <c r="E555">
        <v>23</v>
      </c>
      <c r="F555" t="s">
        <v>17</v>
      </c>
      <c r="G555" t="s">
        <v>38</v>
      </c>
      <c r="H555" t="s">
        <v>48</v>
      </c>
      <c r="I555" t="s">
        <v>31</v>
      </c>
      <c r="J555">
        <v>0</v>
      </c>
      <c r="K555">
        <v>0</v>
      </c>
      <c r="L555">
        <v>34</v>
      </c>
      <c r="M555">
        <v>2</v>
      </c>
      <c r="N555">
        <v>0</v>
      </c>
      <c r="O555" t="s">
        <v>21</v>
      </c>
      <c r="P555" t="str" cm="1">
        <f t="array" ref="P5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6" spans="1:16">
      <c r="A556">
        <v>6549</v>
      </c>
      <c r="B556" t="s">
        <v>63</v>
      </c>
      <c r="C556" t="s">
        <v>28</v>
      </c>
      <c r="D556">
        <v>28.08</v>
      </c>
      <c r="E556">
        <v>5</v>
      </c>
      <c r="F556" t="s">
        <v>29</v>
      </c>
      <c r="G556" t="s">
        <v>44</v>
      </c>
      <c r="H556" t="s">
        <v>41</v>
      </c>
      <c r="I556" t="s">
        <v>20</v>
      </c>
      <c r="J556">
        <v>0</v>
      </c>
      <c r="K556">
        <v>0</v>
      </c>
      <c r="L556">
        <v>47</v>
      </c>
      <c r="M556">
        <v>4</v>
      </c>
      <c r="N556">
        <v>0</v>
      </c>
      <c r="O556" t="s">
        <v>21</v>
      </c>
      <c r="P556" t="str" cm="1">
        <f t="array" ref="P5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7" spans="1:16">
      <c r="A557">
        <v>1973</v>
      </c>
      <c r="B557" t="s">
        <v>32</v>
      </c>
      <c r="C557" t="s">
        <v>33</v>
      </c>
      <c r="D557">
        <v>57.41</v>
      </c>
      <c r="E557">
        <v>3</v>
      </c>
      <c r="F557" t="s">
        <v>34</v>
      </c>
      <c r="G557" t="s">
        <v>18</v>
      </c>
      <c r="H557" t="s">
        <v>25</v>
      </c>
      <c r="I557" t="s">
        <v>20</v>
      </c>
      <c r="J557">
        <v>0</v>
      </c>
      <c r="K557">
        <v>1</v>
      </c>
      <c r="L557">
        <v>26</v>
      </c>
      <c r="M557">
        <v>1</v>
      </c>
      <c r="N557">
        <v>1</v>
      </c>
      <c r="O557" t="s">
        <v>36</v>
      </c>
      <c r="P557" t="str" cm="1">
        <f t="array" ref="P5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8" spans="1:16">
      <c r="A558">
        <v>5785</v>
      </c>
      <c r="B558" t="s">
        <v>54</v>
      </c>
      <c r="C558" t="s">
        <v>28</v>
      </c>
      <c r="D558">
        <v>3.07</v>
      </c>
      <c r="E558">
        <v>8</v>
      </c>
      <c r="F558" t="s">
        <v>34</v>
      </c>
      <c r="G558" t="s">
        <v>24</v>
      </c>
      <c r="H558" t="s">
        <v>19</v>
      </c>
      <c r="I558" t="s">
        <v>31</v>
      </c>
      <c r="J558">
        <v>0</v>
      </c>
      <c r="K558">
        <v>0</v>
      </c>
      <c r="L558">
        <v>35</v>
      </c>
      <c r="M558">
        <v>0</v>
      </c>
      <c r="N558">
        <v>0</v>
      </c>
      <c r="O558" t="s">
        <v>21</v>
      </c>
      <c r="P558" t="str" cm="1">
        <f t="array" ref="P5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59" spans="1:16">
      <c r="A559">
        <v>5176</v>
      </c>
      <c r="B559" t="s">
        <v>74</v>
      </c>
      <c r="C559" t="s">
        <v>28</v>
      </c>
      <c r="D559">
        <v>305.35000000000002</v>
      </c>
      <c r="E559">
        <v>11</v>
      </c>
      <c r="F559" t="s">
        <v>17</v>
      </c>
      <c r="G559" t="s">
        <v>38</v>
      </c>
      <c r="H559" t="s">
        <v>48</v>
      </c>
      <c r="I559" t="s">
        <v>20</v>
      </c>
      <c r="J559">
        <v>0</v>
      </c>
      <c r="K559">
        <v>0</v>
      </c>
      <c r="L559">
        <v>58</v>
      </c>
      <c r="M559">
        <v>3</v>
      </c>
      <c r="N559">
        <v>0</v>
      </c>
      <c r="O559" t="s">
        <v>21</v>
      </c>
      <c r="P559" t="str" cm="1">
        <f t="array" ref="P5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0" spans="1:16">
      <c r="A560">
        <v>5448</v>
      </c>
      <c r="B560" t="s">
        <v>37</v>
      </c>
      <c r="C560" t="s">
        <v>16</v>
      </c>
      <c r="D560">
        <v>174.28</v>
      </c>
      <c r="E560">
        <v>2</v>
      </c>
      <c r="F560" t="s">
        <v>50</v>
      </c>
      <c r="G560" t="s">
        <v>18</v>
      </c>
      <c r="H560" t="s">
        <v>41</v>
      </c>
      <c r="I560" t="s">
        <v>20</v>
      </c>
      <c r="J560">
        <v>0</v>
      </c>
      <c r="K560">
        <v>1</v>
      </c>
      <c r="L560">
        <v>90</v>
      </c>
      <c r="M560">
        <v>6</v>
      </c>
      <c r="N560">
        <v>1</v>
      </c>
      <c r="O560" t="s">
        <v>36</v>
      </c>
      <c r="P560" t="str" cm="1">
        <f t="array" ref="P5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1" spans="1:16">
      <c r="A561">
        <v>5321</v>
      </c>
      <c r="B561" t="s">
        <v>45</v>
      </c>
      <c r="C561" t="s">
        <v>28</v>
      </c>
      <c r="D561">
        <v>59.77</v>
      </c>
      <c r="E561">
        <v>12</v>
      </c>
      <c r="F561" t="s">
        <v>19</v>
      </c>
      <c r="G561" t="s">
        <v>38</v>
      </c>
      <c r="H561" t="s">
        <v>41</v>
      </c>
      <c r="I561" t="s">
        <v>26</v>
      </c>
      <c r="J561">
        <v>1</v>
      </c>
      <c r="K561">
        <v>0</v>
      </c>
      <c r="L561">
        <v>92</v>
      </c>
      <c r="M561">
        <v>1</v>
      </c>
      <c r="N561">
        <v>0</v>
      </c>
      <c r="O561" t="s">
        <v>21</v>
      </c>
      <c r="P561" t="str" cm="1">
        <f t="array" ref="P5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2" spans="1:16">
      <c r="A562">
        <v>6402</v>
      </c>
      <c r="B562" t="s">
        <v>51</v>
      </c>
      <c r="C562" t="s">
        <v>52</v>
      </c>
      <c r="D562">
        <v>385.35</v>
      </c>
      <c r="E562">
        <v>6</v>
      </c>
      <c r="F562" t="s">
        <v>34</v>
      </c>
      <c r="G562" t="s">
        <v>24</v>
      </c>
      <c r="H562" t="s">
        <v>19</v>
      </c>
      <c r="I562" t="s">
        <v>25</v>
      </c>
      <c r="J562">
        <v>0</v>
      </c>
      <c r="K562">
        <v>0</v>
      </c>
      <c r="L562">
        <v>89</v>
      </c>
      <c r="M562">
        <v>3</v>
      </c>
      <c r="N562">
        <v>0</v>
      </c>
      <c r="O562" t="s">
        <v>21</v>
      </c>
      <c r="P562" t="str" cm="1">
        <f t="array" ref="P5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3" spans="1:16">
      <c r="A563">
        <v>3491</v>
      </c>
      <c r="B563" t="s">
        <v>49</v>
      </c>
      <c r="C563" t="s">
        <v>16</v>
      </c>
      <c r="D563">
        <v>15.9</v>
      </c>
      <c r="E563">
        <v>21</v>
      </c>
      <c r="F563" t="s">
        <v>50</v>
      </c>
      <c r="G563" t="s">
        <v>53</v>
      </c>
      <c r="H563" t="s">
        <v>35</v>
      </c>
      <c r="I563" t="s">
        <v>20</v>
      </c>
      <c r="J563">
        <v>0</v>
      </c>
      <c r="K563">
        <v>0</v>
      </c>
      <c r="L563">
        <v>73</v>
      </c>
      <c r="M563">
        <v>0</v>
      </c>
      <c r="N563">
        <v>0</v>
      </c>
      <c r="O563" t="s">
        <v>21</v>
      </c>
      <c r="P563" t="str" cm="1">
        <f t="array" ref="P5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4" spans="1:16">
      <c r="A564">
        <v>1456</v>
      </c>
      <c r="B564" t="s">
        <v>59</v>
      </c>
      <c r="C564" t="s">
        <v>16</v>
      </c>
      <c r="D564">
        <v>481.12</v>
      </c>
      <c r="E564">
        <v>19</v>
      </c>
      <c r="F564" t="s">
        <v>50</v>
      </c>
      <c r="G564" t="s">
        <v>18</v>
      </c>
      <c r="H564" t="s">
        <v>41</v>
      </c>
      <c r="I564" t="s">
        <v>20</v>
      </c>
      <c r="J564">
        <v>0</v>
      </c>
      <c r="K564">
        <v>0</v>
      </c>
      <c r="L564">
        <v>45</v>
      </c>
      <c r="M564">
        <v>1</v>
      </c>
      <c r="N564">
        <v>0</v>
      </c>
      <c r="O564" t="s">
        <v>21</v>
      </c>
      <c r="P564" t="str" cm="1">
        <f t="array" ref="P5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5" spans="1:16">
      <c r="A565">
        <v>9848</v>
      </c>
      <c r="B565" t="s">
        <v>15</v>
      </c>
      <c r="C565" t="s">
        <v>16</v>
      </c>
      <c r="D565">
        <v>82.5</v>
      </c>
      <c r="E565">
        <v>3</v>
      </c>
      <c r="F565" t="s">
        <v>19</v>
      </c>
      <c r="G565" t="s">
        <v>53</v>
      </c>
      <c r="H565" t="s">
        <v>19</v>
      </c>
      <c r="I565" t="s">
        <v>20</v>
      </c>
      <c r="J565">
        <v>0</v>
      </c>
      <c r="K565">
        <v>0</v>
      </c>
      <c r="L565">
        <v>46</v>
      </c>
      <c r="M565">
        <v>1</v>
      </c>
      <c r="N565">
        <v>0</v>
      </c>
      <c r="O565" t="s">
        <v>21</v>
      </c>
      <c r="P565" t="str" cm="1">
        <f t="array" ref="P5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6" spans="1:16">
      <c r="A566">
        <v>2688</v>
      </c>
      <c r="B566" t="s">
        <v>37</v>
      </c>
      <c r="C566" t="s">
        <v>16</v>
      </c>
      <c r="D566">
        <v>96.09</v>
      </c>
      <c r="E566">
        <v>4</v>
      </c>
      <c r="F566" t="s">
        <v>34</v>
      </c>
      <c r="G566" t="s">
        <v>24</v>
      </c>
      <c r="H566" t="s">
        <v>35</v>
      </c>
      <c r="I566" t="s">
        <v>31</v>
      </c>
      <c r="J566">
        <v>0</v>
      </c>
      <c r="K566">
        <v>0</v>
      </c>
      <c r="L566">
        <v>29</v>
      </c>
      <c r="M566">
        <v>2</v>
      </c>
      <c r="N566">
        <v>0</v>
      </c>
      <c r="O566" t="s">
        <v>21</v>
      </c>
      <c r="P566" t="str" cm="1">
        <f t="array" ref="P5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7" spans="1:16">
      <c r="A567">
        <v>4024</v>
      </c>
      <c r="B567" t="s">
        <v>40</v>
      </c>
      <c r="C567" t="s">
        <v>33</v>
      </c>
      <c r="D567">
        <v>314.83</v>
      </c>
      <c r="E567">
        <v>23</v>
      </c>
      <c r="F567" t="s">
        <v>29</v>
      </c>
      <c r="G567" t="s">
        <v>53</v>
      </c>
      <c r="H567" t="s">
        <v>35</v>
      </c>
      <c r="I567" t="s">
        <v>25</v>
      </c>
      <c r="J567">
        <v>0</v>
      </c>
      <c r="K567">
        <v>0</v>
      </c>
      <c r="L567">
        <v>99</v>
      </c>
      <c r="M567">
        <v>1</v>
      </c>
      <c r="N567">
        <v>0</v>
      </c>
      <c r="O567" t="s">
        <v>21</v>
      </c>
      <c r="P567" t="str" cm="1">
        <f t="array" ref="P5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8" spans="1:16">
      <c r="A568">
        <v>8980</v>
      </c>
      <c r="B568" t="s">
        <v>64</v>
      </c>
      <c r="C568" t="s">
        <v>23</v>
      </c>
      <c r="D568">
        <v>72.84</v>
      </c>
      <c r="E568">
        <v>5</v>
      </c>
      <c r="F568" t="s">
        <v>50</v>
      </c>
      <c r="G568" t="s">
        <v>24</v>
      </c>
      <c r="H568" t="s">
        <v>41</v>
      </c>
      <c r="I568" t="s">
        <v>26</v>
      </c>
      <c r="J568">
        <v>0</v>
      </c>
      <c r="K568">
        <v>0</v>
      </c>
      <c r="L568">
        <v>61</v>
      </c>
      <c r="M568">
        <v>1</v>
      </c>
      <c r="N568">
        <v>0</v>
      </c>
      <c r="O568" t="s">
        <v>21</v>
      </c>
      <c r="P568" t="str" cm="1">
        <f t="array" ref="P5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69" spans="1:16">
      <c r="A569">
        <v>39</v>
      </c>
      <c r="B569" t="s">
        <v>51</v>
      </c>
      <c r="C569" t="s">
        <v>52</v>
      </c>
      <c r="D569">
        <v>207.5</v>
      </c>
      <c r="E569">
        <v>15</v>
      </c>
      <c r="F569" t="s">
        <v>34</v>
      </c>
      <c r="G569" t="s">
        <v>24</v>
      </c>
      <c r="H569" t="s">
        <v>48</v>
      </c>
      <c r="I569" t="s">
        <v>20</v>
      </c>
      <c r="J569">
        <v>0</v>
      </c>
      <c r="K569">
        <v>0</v>
      </c>
      <c r="L569">
        <v>64</v>
      </c>
      <c r="M569">
        <v>1</v>
      </c>
      <c r="N569">
        <v>0</v>
      </c>
      <c r="O569" t="s">
        <v>21</v>
      </c>
      <c r="P569" t="str" cm="1">
        <f t="array" ref="P5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0" spans="1:16">
      <c r="A570">
        <v>9036</v>
      </c>
      <c r="B570" t="s">
        <v>70</v>
      </c>
      <c r="C570" t="s">
        <v>28</v>
      </c>
      <c r="D570">
        <v>228.85</v>
      </c>
      <c r="E570">
        <v>7</v>
      </c>
      <c r="F570" t="s">
        <v>19</v>
      </c>
      <c r="G570" t="s">
        <v>24</v>
      </c>
      <c r="H570" t="s">
        <v>35</v>
      </c>
      <c r="I570" t="s">
        <v>20</v>
      </c>
      <c r="J570">
        <v>0</v>
      </c>
      <c r="K570">
        <v>0</v>
      </c>
      <c r="L570">
        <v>98</v>
      </c>
      <c r="M570">
        <v>4</v>
      </c>
      <c r="N570">
        <v>0</v>
      </c>
      <c r="O570" t="s">
        <v>21</v>
      </c>
      <c r="P570" t="str" cm="1">
        <f t="array" ref="P5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1" spans="1:16">
      <c r="A571">
        <v>4976</v>
      </c>
      <c r="B571" t="s">
        <v>49</v>
      </c>
      <c r="C571" t="s">
        <v>16</v>
      </c>
      <c r="D571">
        <v>106.54</v>
      </c>
      <c r="E571">
        <v>13</v>
      </c>
      <c r="F571" t="s">
        <v>29</v>
      </c>
      <c r="G571" t="s">
        <v>38</v>
      </c>
      <c r="H571" t="s">
        <v>48</v>
      </c>
      <c r="I571" t="s">
        <v>20</v>
      </c>
      <c r="J571">
        <v>0</v>
      </c>
      <c r="K571">
        <v>0</v>
      </c>
      <c r="L571">
        <v>52</v>
      </c>
      <c r="M571">
        <v>0</v>
      </c>
      <c r="N571">
        <v>0</v>
      </c>
      <c r="O571" t="s">
        <v>21</v>
      </c>
      <c r="P571" t="str" cm="1">
        <f t="array" ref="P5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2" spans="1:16">
      <c r="A572">
        <v>160</v>
      </c>
      <c r="B572" t="s">
        <v>54</v>
      </c>
      <c r="C572" t="s">
        <v>28</v>
      </c>
      <c r="D572">
        <v>234.49</v>
      </c>
      <c r="E572">
        <v>21</v>
      </c>
      <c r="F572" t="s">
        <v>29</v>
      </c>
      <c r="G572" t="s">
        <v>24</v>
      </c>
      <c r="H572" t="s">
        <v>35</v>
      </c>
      <c r="I572" t="s">
        <v>26</v>
      </c>
      <c r="J572">
        <v>0</v>
      </c>
      <c r="K572">
        <v>0</v>
      </c>
      <c r="L572">
        <v>54</v>
      </c>
      <c r="M572">
        <v>2</v>
      </c>
      <c r="N572">
        <v>0</v>
      </c>
      <c r="O572" t="s">
        <v>21</v>
      </c>
      <c r="P572" t="str" cm="1">
        <f t="array" ref="P5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3" spans="1:16">
      <c r="A573">
        <v>9874</v>
      </c>
      <c r="B573" t="s">
        <v>51</v>
      </c>
      <c r="C573" t="s">
        <v>52</v>
      </c>
      <c r="D573">
        <v>42.4</v>
      </c>
      <c r="E573">
        <v>22</v>
      </c>
      <c r="F573" t="s">
        <v>34</v>
      </c>
      <c r="G573" t="s">
        <v>24</v>
      </c>
      <c r="H573" t="s">
        <v>25</v>
      </c>
      <c r="I573" t="s">
        <v>31</v>
      </c>
      <c r="J573">
        <v>0</v>
      </c>
      <c r="K573">
        <v>0</v>
      </c>
      <c r="L573">
        <v>34</v>
      </c>
      <c r="M573">
        <v>0</v>
      </c>
      <c r="N573">
        <v>0</v>
      </c>
      <c r="O573" t="s">
        <v>21</v>
      </c>
      <c r="P573" t="str" cm="1">
        <f t="array" ref="P5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4" spans="1:16">
      <c r="A574">
        <v>5978</v>
      </c>
      <c r="B574" t="s">
        <v>32</v>
      </c>
      <c r="C574" t="s">
        <v>33</v>
      </c>
      <c r="D574">
        <v>29.23</v>
      </c>
      <c r="E574">
        <v>0</v>
      </c>
      <c r="F574" t="s">
        <v>34</v>
      </c>
      <c r="G574" t="s">
        <v>38</v>
      </c>
      <c r="H574" t="s">
        <v>30</v>
      </c>
      <c r="I574" t="s">
        <v>20</v>
      </c>
      <c r="J574">
        <v>1</v>
      </c>
      <c r="K574">
        <v>0</v>
      </c>
      <c r="L574">
        <v>25</v>
      </c>
      <c r="M574">
        <v>2</v>
      </c>
      <c r="N574">
        <v>1</v>
      </c>
      <c r="O574" t="s">
        <v>36</v>
      </c>
      <c r="P574" t="str" cm="1">
        <f t="array" ref="P5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5" spans="1:16">
      <c r="A575">
        <v>356</v>
      </c>
      <c r="B575" t="s">
        <v>60</v>
      </c>
      <c r="C575" t="s">
        <v>23</v>
      </c>
      <c r="D575">
        <v>185.11</v>
      </c>
      <c r="E575">
        <v>21</v>
      </c>
      <c r="F575" t="s">
        <v>34</v>
      </c>
      <c r="G575" t="s">
        <v>24</v>
      </c>
      <c r="H575" t="s">
        <v>19</v>
      </c>
      <c r="I575" t="s">
        <v>26</v>
      </c>
      <c r="J575">
        <v>0</v>
      </c>
      <c r="K575">
        <v>0</v>
      </c>
      <c r="L575">
        <v>85</v>
      </c>
      <c r="M575">
        <v>5</v>
      </c>
      <c r="N575">
        <v>0</v>
      </c>
      <c r="O575" t="s">
        <v>21</v>
      </c>
      <c r="P575" t="str" cm="1">
        <f t="array" ref="P5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6" spans="1:16">
      <c r="A576">
        <v>58</v>
      </c>
      <c r="B576" t="s">
        <v>71</v>
      </c>
      <c r="C576" t="s">
        <v>33</v>
      </c>
      <c r="D576">
        <v>39.26</v>
      </c>
      <c r="E576">
        <v>11</v>
      </c>
      <c r="F576" t="s">
        <v>29</v>
      </c>
      <c r="G576" t="s">
        <v>18</v>
      </c>
      <c r="H576" t="s">
        <v>48</v>
      </c>
      <c r="I576" t="s">
        <v>26</v>
      </c>
      <c r="J576">
        <v>1</v>
      </c>
      <c r="K576">
        <v>1</v>
      </c>
      <c r="L576">
        <v>34</v>
      </c>
      <c r="M576">
        <v>3</v>
      </c>
      <c r="N576">
        <v>1</v>
      </c>
      <c r="O576" t="s">
        <v>36</v>
      </c>
      <c r="P576" t="str" cm="1">
        <f t="array" ref="P5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7" spans="1:16">
      <c r="A577">
        <v>5770</v>
      </c>
      <c r="B577" t="s">
        <v>59</v>
      </c>
      <c r="C577" t="s">
        <v>16</v>
      </c>
      <c r="D577">
        <v>437.9</v>
      </c>
      <c r="E577">
        <v>3</v>
      </c>
      <c r="F577" t="s">
        <v>19</v>
      </c>
      <c r="G577" t="s">
        <v>24</v>
      </c>
      <c r="H577" t="s">
        <v>41</v>
      </c>
      <c r="I577" t="s">
        <v>31</v>
      </c>
      <c r="J577">
        <v>1</v>
      </c>
      <c r="K577">
        <v>0</v>
      </c>
      <c r="L577">
        <v>30</v>
      </c>
      <c r="M577">
        <v>3</v>
      </c>
      <c r="N577">
        <v>1</v>
      </c>
      <c r="O577" t="s">
        <v>36</v>
      </c>
      <c r="P577" t="str" cm="1">
        <f t="array" ref="P5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8" spans="1:16">
      <c r="A578">
        <v>9514</v>
      </c>
      <c r="B578" t="s">
        <v>47</v>
      </c>
      <c r="C578" t="s">
        <v>16</v>
      </c>
      <c r="D578">
        <v>215.65</v>
      </c>
      <c r="E578">
        <v>11</v>
      </c>
      <c r="F578" t="s">
        <v>29</v>
      </c>
      <c r="G578" t="s">
        <v>24</v>
      </c>
      <c r="H578" t="s">
        <v>35</v>
      </c>
      <c r="I578" t="s">
        <v>26</v>
      </c>
      <c r="J578">
        <v>0</v>
      </c>
      <c r="K578">
        <v>0</v>
      </c>
      <c r="L578">
        <v>98</v>
      </c>
      <c r="M578">
        <v>2</v>
      </c>
      <c r="N578">
        <v>0</v>
      </c>
      <c r="O578" t="s">
        <v>21</v>
      </c>
      <c r="P578" t="str" cm="1">
        <f t="array" ref="P5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79" spans="1:16">
      <c r="A579">
        <v>7381</v>
      </c>
      <c r="B579" t="s">
        <v>45</v>
      </c>
      <c r="C579" t="s">
        <v>28</v>
      </c>
      <c r="D579">
        <v>101.49</v>
      </c>
      <c r="E579">
        <v>19</v>
      </c>
      <c r="F579" t="s">
        <v>34</v>
      </c>
      <c r="G579" t="s">
        <v>24</v>
      </c>
      <c r="H579" t="s">
        <v>35</v>
      </c>
      <c r="I579" t="s">
        <v>26</v>
      </c>
      <c r="J579">
        <v>0</v>
      </c>
      <c r="K579">
        <v>0</v>
      </c>
      <c r="L579">
        <v>82</v>
      </c>
      <c r="M579">
        <v>1</v>
      </c>
      <c r="N579">
        <v>0</v>
      </c>
      <c r="O579" t="s">
        <v>21</v>
      </c>
      <c r="P579" t="str" cm="1">
        <f t="array" ref="P5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0" spans="1:16">
      <c r="A580">
        <v>2958</v>
      </c>
      <c r="B580" t="s">
        <v>49</v>
      </c>
      <c r="C580" t="s">
        <v>16</v>
      </c>
      <c r="D580">
        <v>356.09</v>
      </c>
      <c r="E580">
        <v>20</v>
      </c>
      <c r="F580" t="s">
        <v>29</v>
      </c>
      <c r="G580" t="s">
        <v>38</v>
      </c>
      <c r="H580" t="s">
        <v>41</v>
      </c>
      <c r="I580" t="s">
        <v>20</v>
      </c>
      <c r="J580">
        <v>0</v>
      </c>
      <c r="K580">
        <v>1</v>
      </c>
      <c r="L580">
        <v>54</v>
      </c>
      <c r="M580">
        <v>0</v>
      </c>
      <c r="N580">
        <v>0</v>
      </c>
      <c r="O580" t="s">
        <v>21</v>
      </c>
      <c r="P580" t="str" cm="1">
        <f t="array" ref="P5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1" spans="1:16">
      <c r="A581">
        <v>5121</v>
      </c>
      <c r="B581" t="s">
        <v>46</v>
      </c>
      <c r="C581" t="s">
        <v>23</v>
      </c>
      <c r="D581">
        <v>68.900000000000006</v>
      </c>
      <c r="E581">
        <v>5</v>
      </c>
      <c r="F581" t="s">
        <v>50</v>
      </c>
      <c r="G581" t="s">
        <v>24</v>
      </c>
      <c r="H581" t="s">
        <v>19</v>
      </c>
      <c r="I581" t="s">
        <v>20</v>
      </c>
      <c r="J581">
        <v>0</v>
      </c>
      <c r="K581">
        <v>0</v>
      </c>
      <c r="L581">
        <v>51</v>
      </c>
      <c r="M581">
        <v>3</v>
      </c>
      <c r="N581">
        <v>0</v>
      </c>
      <c r="O581" t="s">
        <v>21</v>
      </c>
      <c r="P581" t="str" cm="1">
        <f t="array" ref="P5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2" spans="1:16">
      <c r="A582">
        <v>2207</v>
      </c>
      <c r="B582" t="s">
        <v>39</v>
      </c>
      <c r="C582" t="s">
        <v>28</v>
      </c>
      <c r="D582">
        <v>59.14</v>
      </c>
      <c r="E582">
        <v>1</v>
      </c>
      <c r="F582" t="s">
        <v>29</v>
      </c>
      <c r="G582" t="s">
        <v>24</v>
      </c>
      <c r="H582" t="s">
        <v>25</v>
      </c>
      <c r="I582" t="s">
        <v>26</v>
      </c>
      <c r="J582">
        <v>0</v>
      </c>
      <c r="K582">
        <v>0</v>
      </c>
      <c r="L582">
        <v>68</v>
      </c>
      <c r="M582">
        <v>1</v>
      </c>
      <c r="N582">
        <v>0</v>
      </c>
      <c r="O582" t="s">
        <v>21</v>
      </c>
      <c r="P582" t="str" cm="1">
        <f t="array" ref="P5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3" spans="1:16">
      <c r="A583">
        <v>4050</v>
      </c>
      <c r="B583" t="s">
        <v>32</v>
      </c>
      <c r="C583" t="s">
        <v>33</v>
      </c>
      <c r="D583">
        <v>40.51</v>
      </c>
      <c r="E583">
        <v>3</v>
      </c>
      <c r="F583" t="s">
        <v>17</v>
      </c>
      <c r="G583" t="s">
        <v>38</v>
      </c>
      <c r="H583" t="s">
        <v>25</v>
      </c>
      <c r="I583" t="s">
        <v>20</v>
      </c>
      <c r="J583">
        <v>1</v>
      </c>
      <c r="K583">
        <v>0</v>
      </c>
      <c r="L583">
        <v>34</v>
      </c>
      <c r="M583">
        <v>1</v>
      </c>
      <c r="N583">
        <v>1</v>
      </c>
      <c r="O583" t="s">
        <v>36</v>
      </c>
      <c r="P583" t="str" cm="1">
        <f t="array" ref="P5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4" spans="1:16">
      <c r="A584">
        <v>5485</v>
      </c>
      <c r="B584" t="s">
        <v>56</v>
      </c>
      <c r="C584" t="s">
        <v>52</v>
      </c>
      <c r="D584">
        <v>212.52</v>
      </c>
      <c r="E584">
        <v>2</v>
      </c>
      <c r="F584" t="s">
        <v>29</v>
      </c>
      <c r="G584" t="s">
        <v>24</v>
      </c>
      <c r="H584" t="s">
        <v>19</v>
      </c>
      <c r="I584" t="s">
        <v>26</v>
      </c>
      <c r="J584">
        <v>0</v>
      </c>
      <c r="K584">
        <v>0</v>
      </c>
      <c r="L584">
        <v>68</v>
      </c>
      <c r="M584">
        <v>1</v>
      </c>
      <c r="N584">
        <v>0</v>
      </c>
      <c r="O584" t="s">
        <v>21</v>
      </c>
      <c r="P584" t="str" cm="1">
        <f t="array" ref="P5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5" spans="1:16">
      <c r="A585">
        <v>4831</v>
      </c>
      <c r="B585" t="s">
        <v>39</v>
      </c>
      <c r="C585" t="s">
        <v>28</v>
      </c>
      <c r="D585">
        <v>286.52</v>
      </c>
      <c r="E585">
        <v>5</v>
      </c>
      <c r="F585" t="s">
        <v>29</v>
      </c>
      <c r="G585" t="s">
        <v>24</v>
      </c>
      <c r="H585" t="s">
        <v>35</v>
      </c>
      <c r="I585" t="s">
        <v>25</v>
      </c>
      <c r="J585">
        <v>0</v>
      </c>
      <c r="K585">
        <v>1</v>
      </c>
      <c r="L585">
        <v>81</v>
      </c>
      <c r="M585">
        <v>5</v>
      </c>
      <c r="N585">
        <v>0</v>
      </c>
      <c r="O585" t="s">
        <v>21</v>
      </c>
      <c r="P585" t="str" cm="1">
        <f t="array" ref="P5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6" spans="1:16">
      <c r="A586">
        <v>7641</v>
      </c>
      <c r="B586" t="s">
        <v>15</v>
      </c>
      <c r="C586" t="s">
        <v>16</v>
      </c>
      <c r="D586">
        <v>107.62</v>
      </c>
      <c r="E586">
        <v>2</v>
      </c>
      <c r="F586" t="s">
        <v>19</v>
      </c>
      <c r="G586" t="s">
        <v>53</v>
      </c>
      <c r="H586" t="s">
        <v>48</v>
      </c>
      <c r="I586" t="s">
        <v>20</v>
      </c>
      <c r="J586">
        <v>0</v>
      </c>
      <c r="K586">
        <v>0</v>
      </c>
      <c r="L586">
        <v>91</v>
      </c>
      <c r="M586">
        <v>0</v>
      </c>
      <c r="N586">
        <v>0</v>
      </c>
      <c r="O586" t="s">
        <v>21</v>
      </c>
      <c r="P586" t="str" cm="1">
        <f t="array" ref="P5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7" spans="1:16">
      <c r="A587">
        <v>1399</v>
      </c>
      <c r="B587" t="s">
        <v>49</v>
      </c>
      <c r="C587" t="s">
        <v>16</v>
      </c>
      <c r="D587">
        <v>172.82</v>
      </c>
      <c r="E587">
        <v>18</v>
      </c>
      <c r="F587" t="s">
        <v>17</v>
      </c>
      <c r="G587" t="s">
        <v>38</v>
      </c>
      <c r="H587" t="s">
        <v>25</v>
      </c>
      <c r="I587" t="s">
        <v>20</v>
      </c>
      <c r="J587">
        <v>0</v>
      </c>
      <c r="K587">
        <v>0</v>
      </c>
      <c r="L587">
        <v>69</v>
      </c>
      <c r="M587">
        <v>3</v>
      </c>
      <c r="N587">
        <v>0</v>
      </c>
      <c r="O587" t="s">
        <v>21</v>
      </c>
      <c r="P587" t="str" cm="1">
        <f t="array" ref="P5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8" spans="1:16">
      <c r="A588">
        <v>3980</v>
      </c>
      <c r="B588" t="s">
        <v>46</v>
      </c>
      <c r="C588" t="s">
        <v>23</v>
      </c>
      <c r="D588">
        <v>99.96</v>
      </c>
      <c r="E588">
        <v>20</v>
      </c>
      <c r="F588" t="s">
        <v>19</v>
      </c>
      <c r="G588" t="s">
        <v>24</v>
      </c>
      <c r="H588" t="s">
        <v>25</v>
      </c>
      <c r="I588" t="s">
        <v>20</v>
      </c>
      <c r="J588">
        <v>0</v>
      </c>
      <c r="K588">
        <v>1</v>
      </c>
      <c r="L588">
        <v>98</v>
      </c>
      <c r="M588">
        <v>3</v>
      </c>
      <c r="N588">
        <v>0</v>
      </c>
      <c r="O588" t="s">
        <v>21</v>
      </c>
      <c r="P588" t="str" cm="1">
        <f t="array" ref="P5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89" spans="1:16">
      <c r="A589">
        <v>3965</v>
      </c>
      <c r="B589" t="s">
        <v>59</v>
      </c>
      <c r="C589" t="s">
        <v>16</v>
      </c>
      <c r="D589">
        <v>2.0499999999999998</v>
      </c>
      <c r="E589">
        <v>4</v>
      </c>
      <c r="F589" t="s">
        <v>19</v>
      </c>
      <c r="G589" t="s">
        <v>44</v>
      </c>
      <c r="H589" t="s">
        <v>19</v>
      </c>
      <c r="I589" t="s">
        <v>20</v>
      </c>
      <c r="J589">
        <v>1</v>
      </c>
      <c r="K589">
        <v>0</v>
      </c>
      <c r="L589">
        <v>28</v>
      </c>
      <c r="M589">
        <v>0</v>
      </c>
      <c r="N589">
        <v>0</v>
      </c>
      <c r="O589" t="s">
        <v>21</v>
      </c>
      <c r="P589" t="str" cm="1">
        <f t="array" ref="P5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0" spans="1:16">
      <c r="A590">
        <v>5745</v>
      </c>
      <c r="B590" t="s">
        <v>15</v>
      </c>
      <c r="C590" t="s">
        <v>16</v>
      </c>
      <c r="D590">
        <v>32.159999999999997</v>
      </c>
      <c r="E590">
        <v>21</v>
      </c>
      <c r="F590" t="s">
        <v>29</v>
      </c>
      <c r="G590" t="s">
        <v>24</v>
      </c>
      <c r="H590" t="s">
        <v>48</v>
      </c>
      <c r="I590" t="s">
        <v>20</v>
      </c>
      <c r="J590">
        <v>0</v>
      </c>
      <c r="K590">
        <v>0</v>
      </c>
      <c r="L590">
        <v>59</v>
      </c>
      <c r="M590">
        <v>1</v>
      </c>
      <c r="N590">
        <v>0</v>
      </c>
      <c r="O590" t="s">
        <v>21</v>
      </c>
      <c r="P590" t="str" cm="1">
        <f t="array" ref="P5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1" spans="1:16">
      <c r="A591">
        <v>7557</v>
      </c>
      <c r="B591" t="s">
        <v>59</v>
      </c>
      <c r="C591" t="s">
        <v>16</v>
      </c>
      <c r="D591">
        <v>37.630000000000003</v>
      </c>
      <c r="E591">
        <v>5</v>
      </c>
      <c r="F591" t="s">
        <v>19</v>
      </c>
      <c r="G591" t="s">
        <v>38</v>
      </c>
      <c r="H591" t="s">
        <v>41</v>
      </c>
      <c r="I591" t="s">
        <v>26</v>
      </c>
      <c r="J591">
        <v>0</v>
      </c>
      <c r="K591">
        <v>0</v>
      </c>
      <c r="L591">
        <v>87</v>
      </c>
      <c r="M591">
        <v>3</v>
      </c>
      <c r="N591">
        <v>0</v>
      </c>
      <c r="O591" t="s">
        <v>21</v>
      </c>
      <c r="P591" t="str" cm="1">
        <f t="array" ref="P5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2" spans="1:16">
      <c r="A592">
        <v>3726</v>
      </c>
      <c r="B592" t="s">
        <v>45</v>
      </c>
      <c r="C592" t="s">
        <v>28</v>
      </c>
      <c r="D592">
        <v>475.18</v>
      </c>
      <c r="E592">
        <v>3</v>
      </c>
      <c r="F592" t="s">
        <v>19</v>
      </c>
      <c r="G592" t="s">
        <v>24</v>
      </c>
      <c r="H592" t="s">
        <v>30</v>
      </c>
      <c r="I592" t="s">
        <v>31</v>
      </c>
      <c r="J592">
        <v>0</v>
      </c>
      <c r="K592">
        <v>0</v>
      </c>
      <c r="L592">
        <v>64</v>
      </c>
      <c r="M592">
        <v>0</v>
      </c>
      <c r="N592">
        <v>0</v>
      </c>
      <c r="O592" t="s">
        <v>21</v>
      </c>
      <c r="P592" t="str" cm="1">
        <f t="array" ref="P5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3" spans="1:16">
      <c r="A593">
        <v>5859</v>
      </c>
      <c r="B593" t="s">
        <v>49</v>
      </c>
      <c r="C593" t="s">
        <v>16</v>
      </c>
      <c r="D593">
        <v>3.63</v>
      </c>
      <c r="E593">
        <v>7</v>
      </c>
      <c r="F593" t="s">
        <v>29</v>
      </c>
      <c r="G593" t="s">
        <v>18</v>
      </c>
      <c r="H593" t="s">
        <v>35</v>
      </c>
      <c r="I593" t="s">
        <v>31</v>
      </c>
      <c r="J593">
        <v>0</v>
      </c>
      <c r="K593">
        <v>0</v>
      </c>
      <c r="L593">
        <v>50</v>
      </c>
      <c r="M593">
        <v>1</v>
      </c>
      <c r="N593">
        <v>0</v>
      </c>
      <c r="O593" t="s">
        <v>21</v>
      </c>
      <c r="P593" t="str" cm="1">
        <f t="array" ref="P5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4" spans="1:16">
      <c r="A594">
        <v>7980</v>
      </c>
      <c r="B594" t="s">
        <v>47</v>
      </c>
      <c r="C594" t="s">
        <v>16</v>
      </c>
      <c r="D594">
        <v>222.31</v>
      </c>
      <c r="E594">
        <v>19</v>
      </c>
      <c r="F594" t="s">
        <v>29</v>
      </c>
      <c r="G594" t="s">
        <v>44</v>
      </c>
      <c r="H594" t="s">
        <v>35</v>
      </c>
      <c r="I594" t="s">
        <v>20</v>
      </c>
      <c r="J594">
        <v>0</v>
      </c>
      <c r="K594">
        <v>0</v>
      </c>
      <c r="L594">
        <v>41</v>
      </c>
      <c r="M594">
        <v>2</v>
      </c>
      <c r="N594">
        <v>0</v>
      </c>
      <c r="O594" t="s">
        <v>21</v>
      </c>
      <c r="P594" t="str" cm="1">
        <f t="array" ref="P5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5" spans="1:16">
      <c r="A595">
        <v>596</v>
      </c>
      <c r="B595" t="s">
        <v>45</v>
      </c>
      <c r="C595" t="s">
        <v>28</v>
      </c>
      <c r="D595">
        <v>115.63</v>
      </c>
      <c r="E595">
        <v>20</v>
      </c>
      <c r="F595" t="s">
        <v>29</v>
      </c>
      <c r="G595" t="s">
        <v>53</v>
      </c>
      <c r="H595" t="s">
        <v>25</v>
      </c>
      <c r="I595" t="s">
        <v>26</v>
      </c>
      <c r="J595">
        <v>0</v>
      </c>
      <c r="K595">
        <v>0</v>
      </c>
      <c r="L595">
        <v>26</v>
      </c>
      <c r="M595">
        <v>1</v>
      </c>
      <c r="N595">
        <v>0</v>
      </c>
      <c r="O595" t="s">
        <v>21</v>
      </c>
      <c r="P595" t="str" cm="1">
        <f t="array" ref="P5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6" spans="1:16">
      <c r="A596">
        <v>1335</v>
      </c>
      <c r="B596" t="s">
        <v>40</v>
      </c>
      <c r="C596" t="s">
        <v>33</v>
      </c>
      <c r="D596">
        <v>662.52</v>
      </c>
      <c r="E596">
        <v>18</v>
      </c>
      <c r="F596" t="s">
        <v>17</v>
      </c>
      <c r="G596" t="s">
        <v>44</v>
      </c>
      <c r="H596" t="s">
        <v>35</v>
      </c>
      <c r="I596" t="s">
        <v>20</v>
      </c>
      <c r="J596">
        <v>0</v>
      </c>
      <c r="K596">
        <v>0</v>
      </c>
      <c r="L596">
        <v>57</v>
      </c>
      <c r="M596">
        <v>3</v>
      </c>
      <c r="N596">
        <v>0</v>
      </c>
      <c r="O596" t="s">
        <v>21</v>
      </c>
      <c r="P596" t="str" cm="1">
        <f t="array" ref="P596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97" spans="1:16">
      <c r="A597">
        <v>5537</v>
      </c>
      <c r="B597" t="s">
        <v>45</v>
      </c>
      <c r="C597" t="s">
        <v>28</v>
      </c>
      <c r="D597">
        <v>28.31</v>
      </c>
      <c r="E597">
        <v>1</v>
      </c>
      <c r="F597" t="s">
        <v>19</v>
      </c>
      <c r="G597" t="s">
        <v>53</v>
      </c>
      <c r="H597" t="s">
        <v>48</v>
      </c>
      <c r="I597" t="s">
        <v>20</v>
      </c>
      <c r="J597">
        <v>1</v>
      </c>
      <c r="K597">
        <v>1</v>
      </c>
      <c r="L597">
        <v>52</v>
      </c>
      <c r="M597">
        <v>4</v>
      </c>
      <c r="N597">
        <v>1</v>
      </c>
      <c r="O597" t="s">
        <v>36</v>
      </c>
      <c r="P597" t="str" cm="1">
        <f t="array" ref="P5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598" spans="1:16">
      <c r="A598">
        <v>8154</v>
      </c>
      <c r="B598" t="s">
        <v>32</v>
      </c>
      <c r="C598" t="s">
        <v>33</v>
      </c>
      <c r="D598">
        <v>515.71</v>
      </c>
      <c r="E598">
        <v>0</v>
      </c>
      <c r="F598" t="s">
        <v>50</v>
      </c>
      <c r="G598" t="s">
        <v>24</v>
      </c>
      <c r="H598" t="s">
        <v>19</v>
      </c>
      <c r="I598" t="s">
        <v>20</v>
      </c>
      <c r="J598">
        <v>0</v>
      </c>
      <c r="K598">
        <v>0</v>
      </c>
      <c r="L598">
        <v>28</v>
      </c>
      <c r="M598">
        <v>3</v>
      </c>
      <c r="N598">
        <v>0</v>
      </c>
      <c r="O598" t="s">
        <v>21</v>
      </c>
      <c r="P598" t="str" cm="1">
        <f t="array" ref="P598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599" spans="1:16">
      <c r="A599">
        <v>2279</v>
      </c>
      <c r="B599" t="s">
        <v>49</v>
      </c>
      <c r="C599" t="s">
        <v>16</v>
      </c>
      <c r="D599">
        <v>180.97</v>
      </c>
      <c r="E599">
        <v>6</v>
      </c>
      <c r="F599" t="s">
        <v>17</v>
      </c>
      <c r="G599" t="s">
        <v>44</v>
      </c>
      <c r="H599" t="s">
        <v>35</v>
      </c>
      <c r="I599" t="s">
        <v>26</v>
      </c>
      <c r="J599">
        <v>0</v>
      </c>
      <c r="K599">
        <v>0</v>
      </c>
      <c r="L599">
        <v>46</v>
      </c>
      <c r="M599">
        <v>2</v>
      </c>
      <c r="N599">
        <v>0</v>
      </c>
      <c r="O599" t="s">
        <v>21</v>
      </c>
      <c r="P599" t="str" cm="1">
        <f t="array" ref="P5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0" spans="1:16">
      <c r="A600">
        <v>1529</v>
      </c>
      <c r="B600" t="s">
        <v>32</v>
      </c>
      <c r="C600" t="s">
        <v>33</v>
      </c>
      <c r="D600">
        <v>292.44</v>
      </c>
      <c r="E600">
        <v>17</v>
      </c>
      <c r="F600" t="s">
        <v>34</v>
      </c>
      <c r="G600" t="s">
        <v>24</v>
      </c>
      <c r="H600" t="s">
        <v>41</v>
      </c>
      <c r="I600" t="s">
        <v>20</v>
      </c>
      <c r="J600">
        <v>0</v>
      </c>
      <c r="K600">
        <v>1</v>
      </c>
      <c r="L600">
        <v>83</v>
      </c>
      <c r="M600">
        <v>2</v>
      </c>
      <c r="N600">
        <v>0</v>
      </c>
      <c r="O600" t="s">
        <v>21</v>
      </c>
      <c r="P600" t="str" cm="1">
        <f t="array" ref="P6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1" spans="1:16">
      <c r="A601">
        <v>6840</v>
      </c>
      <c r="B601" t="s">
        <v>40</v>
      </c>
      <c r="C601" t="s">
        <v>33</v>
      </c>
      <c r="D601">
        <v>619.69000000000005</v>
      </c>
      <c r="E601">
        <v>21</v>
      </c>
      <c r="F601" t="s">
        <v>19</v>
      </c>
      <c r="G601" t="s">
        <v>44</v>
      </c>
      <c r="H601" t="s">
        <v>35</v>
      </c>
      <c r="I601" t="s">
        <v>31</v>
      </c>
      <c r="J601">
        <v>0</v>
      </c>
      <c r="K601">
        <v>0</v>
      </c>
      <c r="L601">
        <v>66</v>
      </c>
      <c r="M601">
        <v>3</v>
      </c>
      <c r="N601">
        <v>0</v>
      </c>
      <c r="O601" t="s">
        <v>21</v>
      </c>
      <c r="P601" t="str" cm="1">
        <f t="array" ref="P601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02" spans="1:16">
      <c r="A602">
        <v>7599</v>
      </c>
      <c r="B602" t="s">
        <v>49</v>
      </c>
      <c r="C602" t="s">
        <v>16</v>
      </c>
      <c r="D602">
        <v>1073</v>
      </c>
      <c r="E602">
        <v>13</v>
      </c>
      <c r="F602" t="s">
        <v>50</v>
      </c>
      <c r="G602" t="s">
        <v>24</v>
      </c>
      <c r="H602" t="s">
        <v>48</v>
      </c>
      <c r="I602" t="s">
        <v>26</v>
      </c>
      <c r="J602">
        <v>0</v>
      </c>
      <c r="K602">
        <v>0</v>
      </c>
      <c r="L602">
        <v>78</v>
      </c>
      <c r="M602">
        <v>3</v>
      </c>
      <c r="N602">
        <v>0</v>
      </c>
      <c r="O602" t="s">
        <v>21</v>
      </c>
      <c r="P602" t="str" cm="1">
        <f t="array" ref="P602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603" spans="1:16">
      <c r="A603">
        <v>3214</v>
      </c>
      <c r="B603" t="s">
        <v>71</v>
      </c>
      <c r="C603" t="s">
        <v>33</v>
      </c>
      <c r="D603">
        <v>213.12</v>
      </c>
      <c r="E603">
        <v>23</v>
      </c>
      <c r="F603" t="s">
        <v>50</v>
      </c>
      <c r="G603" t="s">
        <v>44</v>
      </c>
      <c r="H603" t="s">
        <v>25</v>
      </c>
      <c r="I603" t="s">
        <v>31</v>
      </c>
      <c r="J603">
        <v>0</v>
      </c>
      <c r="K603">
        <v>0</v>
      </c>
      <c r="L603">
        <v>82</v>
      </c>
      <c r="M603">
        <v>2</v>
      </c>
      <c r="N603">
        <v>0</v>
      </c>
      <c r="O603" t="s">
        <v>21</v>
      </c>
      <c r="P603" t="str" cm="1">
        <f t="array" ref="P6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4" spans="1:16">
      <c r="A604">
        <v>4629</v>
      </c>
      <c r="B604" t="s">
        <v>56</v>
      </c>
      <c r="C604" t="s">
        <v>52</v>
      </c>
      <c r="D604">
        <v>186.78</v>
      </c>
      <c r="E604">
        <v>16</v>
      </c>
      <c r="F604" t="s">
        <v>19</v>
      </c>
      <c r="G604" t="s">
        <v>38</v>
      </c>
      <c r="H604" t="s">
        <v>30</v>
      </c>
      <c r="I604" t="s">
        <v>31</v>
      </c>
      <c r="J604">
        <v>0</v>
      </c>
      <c r="K604">
        <v>0</v>
      </c>
      <c r="L604">
        <v>28</v>
      </c>
      <c r="M604">
        <v>1</v>
      </c>
      <c r="N604">
        <v>0</v>
      </c>
      <c r="O604" t="s">
        <v>21</v>
      </c>
      <c r="P604" t="str" cm="1">
        <f t="array" ref="P6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5" spans="1:16">
      <c r="A605">
        <v>8596</v>
      </c>
      <c r="B605" t="s">
        <v>71</v>
      </c>
      <c r="C605" t="s">
        <v>33</v>
      </c>
      <c r="D605">
        <v>140.88999999999999</v>
      </c>
      <c r="E605">
        <v>19</v>
      </c>
      <c r="F605" t="s">
        <v>50</v>
      </c>
      <c r="G605" t="s">
        <v>24</v>
      </c>
      <c r="H605" t="s">
        <v>41</v>
      </c>
      <c r="I605" t="s">
        <v>20</v>
      </c>
      <c r="J605">
        <v>0</v>
      </c>
      <c r="K605">
        <v>0</v>
      </c>
      <c r="L605">
        <v>56</v>
      </c>
      <c r="M605">
        <v>1</v>
      </c>
      <c r="N605">
        <v>0</v>
      </c>
      <c r="O605" t="s">
        <v>21</v>
      </c>
      <c r="P605" t="str" cm="1">
        <f t="array" ref="P6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6" spans="1:16">
      <c r="A606">
        <v>7549</v>
      </c>
      <c r="B606" t="s">
        <v>64</v>
      </c>
      <c r="C606" t="s">
        <v>23</v>
      </c>
      <c r="D606">
        <v>318.58</v>
      </c>
      <c r="E606">
        <v>0</v>
      </c>
      <c r="F606" t="s">
        <v>19</v>
      </c>
      <c r="G606" t="s">
        <v>44</v>
      </c>
      <c r="H606" t="s">
        <v>48</v>
      </c>
      <c r="I606" t="s">
        <v>20</v>
      </c>
      <c r="J606">
        <v>0</v>
      </c>
      <c r="K606">
        <v>0</v>
      </c>
      <c r="L606">
        <v>75</v>
      </c>
      <c r="M606">
        <v>1</v>
      </c>
      <c r="N606">
        <v>0</v>
      </c>
      <c r="O606" t="s">
        <v>21</v>
      </c>
      <c r="P606" t="str" cm="1">
        <f t="array" ref="P6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7" spans="1:16">
      <c r="A607">
        <v>804</v>
      </c>
      <c r="B607" t="s">
        <v>66</v>
      </c>
      <c r="C607" t="s">
        <v>43</v>
      </c>
      <c r="D607">
        <v>167.98</v>
      </c>
      <c r="E607">
        <v>3</v>
      </c>
      <c r="F607" t="s">
        <v>29</v>
      </c>
      <c r="G607" t="s">
        <v>38</v>
      </c>
      <c r="H607" t="s">
        <v>35</v>
      </c>
      <c r="I607" t="s">
        <v>31</v>
      </c>
      <c r="J607">
        <v>0</v>
      </c>
      <c r="K607">
        <v>0</v>
      </c>
      <c r="L607">
        <v>57</v>
      </c>
      <c r="M607">
        <v>4</v>
      </c>
      <c r="N607">
        <v>0</v>
      </c>
      <c r="O607" t="s">
        <v>21</v>
      </c>
      <c r="P607" t="str" cm="1">
        <f t="array" ref="P6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8" spans="1:16">
      <c r="A608">
        <v>2658</v>
      </c>
      <c r="B608" t="s">
        <v>32</v>
      </c>
      <c r="C608" t="s">
        <v>33</v>
      </c>
      <c r="D608">
        <v>341.9</v>
      </c>
      <c r="E608">
        <v>15</v>
      </c>
      <c r="F608" t="s">
        <v>19</v>
      </c>
      <c r="G608" t="s">
        <v>18</v>
      </c>
      <c r="H608" t="s">
        <v>30</v>
      </c>
      <c r="I608" t="s">
        <v>20</v>
      </c>
      <c r="J608">
        <v>0</v>
      </c>
      <c r="K608">
        <v>0</v>
      </c>
      <c r="L608">
        <v>65</v>
      </c>
      <c r="M608">
        <v>4</v>
      </c>
      <c r="N608">
        <v>0</v>
      </c>
      <c r="O608" t="s">
        <v>21</v>
      </c>
      <c r="P608" t="str" cm="1">
        <f t="array" ref="P6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09" spans="1:16">
      <c r="A609">
        <v>66</v>
      </c>
      <c r="B609" t="s">
        <v>49</v>
      </c>
      <c r="C609" t="s">
        <v>16</v>
      </c>
      <c r="D609">
        <v>140.83000000000001</v>
      </c>
      <c r="E609">
        <v>2</v>
      </c>
      <c r="F609" t="s">
        <v>19</v>
      </c>
      <c r="G609" t="s">
        <v>53</v>
      </c>
      <c r="H609" t="s">
        <v>35</v>
      </c>
      <c r="I609" t="s">
        <v>20</v>
      </c>
      <c r="J609">
        <v>0</v>
      </c>
      <c r="K609">
        <v>0</v>
      </c>
      <c r="L609">
        <v>40</v>
      </c>
      <c r="M609">
        <v>2</v>
      </c>
      <c r="N609">
        <v>0</v>
      </c>
      <c r="O609" t="s">
        <v>21</v>
      </c>
      <c r="P609" t="str" cm="1">
        <f t="array" ref="P6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0" spans="1:16">
      <c r="A610">
        <v>302</v>
      </c>
      <c r="B610" t="s">
        <v>22</v>
      </c>
      <c r="C610" t="s">
        <v>23</v>
      </c>
      <c r="D610">
        <v>136.41999999999999</v>
      </c>
      <c r="E610">
        <v>7</v>
      </c>
      <c r="F610" t="s">
        <v>29</v>
      </c>
      <c r="G610" t="s">
        <v>44</v>
      </c>
      <c r="H610" t="s">
        <v>25</v>
      </c>
      <c r="I610" t="s">
        <v>20</v>
      </c>
      <c r="J610">
        <v>0</v>
      </c>
      <c r="K610">
        <v>1</v>
      </c>
      <c r="L610">
        <v>72</v>
      </c>
      <c r="M610">
        <v>1</v>
      </c>
      <c r="N610">
        <v>0</v>
      </c>
      <c r="O610" t="s">
        <v>21</v>
      </c>
      <c r="P610" t="str" cm="1">
        <f t="array" ref="P6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1" spans="1:16">
      <c r="A611">
        <v>3119</v>
      </c>
      <c r="B611" t="s">
        <v>70</v>
      </c>
      <c r="C611" t="s">
        <v>28</v>
      </c>
      <c r="D611">
        <v>51.39</v>
      </c>
      <c r="E611">
        <v>6</v>
      </c>
      <c r="F611" t="s">
        <v>50</v>
      </c>
      <c r="G611" t="s">
        <v>44</v>
      </c>
      <c r="H611" t="s">
        <v>35</v>
      </c>
      <c r="I611" t="s">
        <v>20</v>
      </c>
      <c r="J611">
        <v>0</v>
      </c>
      <c r="K611">
        <v>0</v>
      </c>
      <c r="L611">
        <v>65</v>
      </c>
      <c r="M611">
        <v>5</v>
      </c>
      <c r="N611">
        <v>0</v>
      </c>
      <c r="O611" t="s">
        <v>21</v>
      </c>
      <c r="P611" t="str" cm="1">
        <f t="array" ref="P6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2" spans="1:16">
      <c r="A612">
        <v>2172</v>
      </c>
      <c r="B612" t="s">
        <v>22</v>
      </c>
      <c r="C612" t="s">
        <v>23</v>
      </c>
      <c r="D612">
        <v>12.99</v>
      </c>
      <c r="E612">
        <v>21</v>
      </c>
      <c r="F612" t="s">
        <v>29</v>
      </c>
      <c r="G612" t="s">
        <v>44</v>
      </c>
      <c r="H612" t="s">
        <v>48</v>
      </c>
      <c r="I612" t="s">
        <v>20</v>
      </c>
      <c r="J612">
        <v>0</v>
      </c>
      <c r="K612">
        <v>0</v>
      </c>
      <c r="L612">
        <v>29</v>
      </c>
      <c r="M612">
        <v>3</v>
      </c>
      <c r="N612">
        <v>0</v>
      </c>
      <c r="O612" t="s">
        <v>21</v>
      </c>
      <c r="P612" t="str" cm="1">
        <f t="array" ref="P6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3" spans="1:16">
      <c r="A613">
        <v>7151</v>
      </c>
      <c r="B613" t="s">
        <v>60</v>
      </c>
      <c r="C613" t="s">
        <v>23</v>
      </c>
      <c r="D613">
        <v>264.52</v>
      </c>
      <c r="E613">
        <v>9</v>
      </c>
      <c r="F613" t="s">
        <v>19</v>
      </c>
      <c r="G613" t="s">
        <v>38</v>
      </c>
      <c r="H613" t="s">
        <v>41</v>
      </c>
      <c r="I613" t="s">
        <v>20</v>
      </c>
      <c r="J613">
        <v>0</v>
      </c>
      <c r="K613">
        <v>0</v>
      </c>
      <c r="L613">
        <v>90</v>
      </c>
      <c r="M613">
        <v>2</v>
      </c>
      <c r="N613">
        <v>0</v>
      </c>
      <c r="O613" t="s">
        <v>21</v>
      </c>
      <c r="P613" t="str" cm="1">
        <f t="array" ref="P6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4" spans="1:16">
      <c r="A614">
        <v>2882</v>
      </c>
      <c r="B614" t="s">
        <v>39</v>
      </c>
      <c r="C614" t="s">
        <v>28</v>
      </c>
      <c r="D614">
        <v>347.62</v>
      </c>
      <c r="E614">
        <v>11</v>
      </c>
      <c r="F614" t="s">
        <v>17</v>
      </c>
      <c r="G614" t="s">
        <v>44</v>
      </c>
      <c r="H614" t="s">
        <v>41</v>
      </c>
      <c r="I614" t="s">
        <v>26</v>
      </c>
      <c r="J614">
        <v>1</v>
      </c>
      <c r="K614">
        <v>0</v>
      </c>
      <c r="L614">
        <v>74</v>
      </c>
      <c r="M614">
        <v>5</v>
      </c>
      <c r="N614">
        <v>0</v>
      </c>
      <c r="O614" t="s">
        <v>21</v>
      </c>
      <c r="P614" t="str" cm="1">
        <f t="array" ref="P6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5" spans="1:16">
      <c r="A615">
        <v>5427</v>
      </c>
      <c r="B615" t="s">
        <v>22</v>
      </c>
      <c r="C615" t="s">
        <v>23</v>
      </c>
      <c r="D615">
        <v>737.06</v>
      </c>
      <c r="E615">
        <v>0</v>
      </c>
      <c r="F615" t="s">
        <v>50</v>
      </c>
      <c r="G615" t="s">
        <v>44</v>
      </c>
      <c r="H615" t="s">
        <v>35</v>
      </c>
      <c r="I615" t="s">
        <v>20</v>
      </c>
      <c r="J615">
        <v>0</v>
      </c>
      <c r="K615">
        <v>1</v>
      </c>
      <c r="L615">
        <v>65</v>
      </c>
      <c r="M615">
        <v>5</v>
      </c>
      <c r="N615">
        <v>1</v>
      </c>
      <c r="O615" t="s">
        <v>36</v>
      </c>
      <c r="P615" t="str" cm="1">
        <f t="array" ref="P615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16" spans="1:16">
      <c r="A616">
        <v>7307</v>
      </c>
      <c r="B616" t="s">
        <v>39</v>
      </c>
      <c r="C616" t="s">
        <v>28</v>
      </c>
      <c r="D616">
        <v>322.14999999999998</v>
      </c>
      <c r="E616">
        <v>4</v>
      </c>
      <c r="F616" t="s">
        <v>50</v>
      </c>
      <c r="G616" t="s">
        <v>18</v>
      </c>
      <c r="H616" t="s">
        <v>48</v>
      </c>
      <c r="I616" t="s">
        <v>26</v>
      </c>
      <c r="J616">
        <v>0</v>
      </c>
      <c r="K616">
        <v>0</v>
      </c>
      <c r="L616">
        <v>28</v>
      </c>
      <c r="M616">
        <v>2</v>
      </c>
      <c r="N616">
        <v>0</v>
      </c>
      <c r="O616" t="s">
        <v>21</v>
      </c>
      <c r="P616" t="str" cm="1">
        <f t="array" ref="P6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7" spans="1:16">
      <c r="A617">
        <v>9417</v>
      </c>
      <c r="B617" t="s">
        <v>32</v>
      </c>
      <c r="C617" t="s">
        <v>33</v>
      </c>
      <c r="D617">
        <v>164.12</v>
      </c>
      <c r="E617">
        <v>22</v>
      </c>
      <c r="F617" t="s">
        <v>29</v>
      </c>
      <c r="G617" t="s">
        <v>24</v>
      </c>
      <c r="H617" t="s">
        <v>30</v>
      </c>
      <c r="I617" t="s">
        <v>20</v>
      </c>
      <c r="J617">
        <v>0</v>
      </c>
      <c r="K617">
        <v>0</v>
      </c>
      <c r="L617">
        <v>79</v>
      </c>
      <c r="M617">
        <v>3</v>
      </c>
      <c r="N617">
        <v>0</v>
      </c>
      <c r="O617" t="s">
        <v>21</v>
      </c>
      <c r="P617" t="str" cm="1">
        <f t="array" ref="P6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8" spans="1:16">
      <c r="A618">
        <v>952</v>
      </c>
      <c r="B618" t="s">
        <v>47</v>
      </c>
      <c r="C618" t="s">
        <v>16</v>
      </c>
      <c r="D618">
        <v>196.87</v>
      </c>
      <c r="E618">
        <v>23</v>
      </c>
      <c r="F618" t="s">
        <v>17</v>
      </c>
      <c r="G618" t="s">
        <v>24</v>
      </c>
      <c r="H618" t="s">
        <v>35</v>
      </c>
      <c r="I618" t="s">
        <v>20</v>
      </c>
      <c r="J618">
        <v>0</v>
      </c>
      <c r="K618">
        <v>0</v>
      </c>
      <c r="L618">
        <v>68</v>
      </c>
      <c r="M618">
        <v>1</v>
      </c>
      <c r="N618">
        <v>0</v>
      </c>
      <c r="O618" t="s">
        <v>21</v>
      </c>
      <c r="P618" t="str" cm="1">
        <f t="array" ref="P6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19" spans="1:16">
      <c r="A619">
        <v>6546</v>
      </c>
      <c r="B619" t="s">
        <v>37</v>
      </c>
      <c r="C619" t="s">
        <v>16</v>
      </c>
      <c r="D619">
        <v>16.21</v>
      </c>
      <c r="E619">
        <v>0</v>
      </c>
      <c r="F619" t="s">
        <v>17</v>
      </c>
      <c r="G619" t="s">
        <v>24</v>
      </c>
      <c r="H619" t="s">
        <v>19</v>
      </c>
      <c r="I619" t="s">
        <v>20</v>
      </c>
      <c r="J619">
        <v>0</v>
      </c>
      <c r="K619">
        <v>0</v>
      </c>
      <c r="L619">
        <v>39</v>
      </c>
      <c r="M619">
        <v>6</v>
      </c>
      <c r="N619">
        <v>1</v>
      </c>
      <c r="O619" t="s">
        <v>36</v>
      </c>
      <c r="P619" t="str" cm="1">
        <f t="array" ref="P6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0" spans="1:16">
      <c r="A620">
        <v>7958</v>
      </c>
      <c r="B620" t="s">
        <v>15</v>
      </c>
      <c r="C620" t="s">
        <v>16</v>
      </c>
      <c r="D620">
        <v>320.63</v>
      </c>
      <c r="E620">
        <v>13</v>
      </c>
      <c r="F620" t="s">
        <v>19</v>
      </c>
      <c r="G620" t="s">
        <v>24</v>
      </c>
      <c r="H620" t="s">
        <v>35</v>
      </c>
      <c r="I620" t="s">
        <v>31</v>
      </c>
      <c r="J620">
        <v>0</v>
      </c>
      <c r="K620">
        <v>0</v>
      </c>
      <c r="L620">
        <v>69</v>
      </c>
      <c r="M620">
        <v>2</v>
      </c>
      <c r="N620">
        <v>0</v>
      </c>
      <c r="O620" t="s">
        <v>21</v>
      </c>
      <c r="P620" t="str" cm="1">
        <f t="array" ref="P6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1" spans="1:16">
      <c r="A621">
        <v>1728</v>
      </c>
      <c r="B621" t="s">
        <v>47</v>
      </c>
      <c r="C621" t="s">
        <v>16</v>
      </c>
      <c r="D621">
        <v>1028.32</v>
      </c>
      <c r="E621">
        <v>1</v>
      </c>
      <c r="F621" t="s">
        <v>34</v>
      </c>
      <c r="G621" t="s">
        <v>24</v>
      </c>
      <c r="H621" t="s">
        <v>25</v>
      </c>
      <c r="I621" t="s">
        <v>31</v>
      </c>
      <c r="J621">
        <v>0</v>
      </c>
      <c r="K621">
        <v>0</v>
      </c>
      <c r="L621">
        <v>27</v>
      </c>
      <c r="M621">
        <v>2</v>
      </c>
      <c r="N621">
        <v>1</v>
      </c>
      <c r="O621" t="s">
        <v>36</v>
      </c>
      <c r="P621" t="str" cm="1">
        <f t="array" ref="P621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622" spans="1:16">
      <c r="A622">
        <v>8292</v>
      </c>
      <c r="B622" t="s">
        <v>64</v>
      </c>
      <c r="C622" t="s">
        <v>23</v>
      </c>
      <c r="D622">
        <v>212.69</v>
      </c>
      <c r="E622">
        <v>15</v>
      </c>
      <c r="F622" t="s">
        <v>19</v>
      </c>
      <c r="G622" t="s">
        <v>24</v>
      </c>
      <c r="H622" t="s">
        <v>35</v>
      </c>
      <c r="I622" t="s">
        <v>26</v>
      </c>
      <c r="J622">
        <v>0</v>
      </c>
      <c r="K622">
        <v>0</v>
      </c>
      <c r="L622">
        <v>94</v>
      </c>
      <c r="M622">
        <v>1</v>
      </c>
      <c r="N622">
        <v>0</v>
      </c>
      <c r="O622" t="s">
        <v>21</v>
      </c>
      <c r="P622" t="str" cm="1">
        <f t="array" ref="P6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3" spans="1:16">
      <c r="A623">
        <v>3943</v>
      </c>
      <c r="B623" t="s">
        <v>32</v>
      </c>
      <c r="C623" t="s">
        <v>33</v>
      </c>
      <c r="D623">
        <v>15.82</v>
      </c>
      <c r="E623">
        <v>21</v>
      </c>
      <c r="F623" t="s">
        <v>50</v>
      </c>
      <c r="G623" t="s">
        <v>24</v>
      </c>
      <c r="H623" t="s">
        <v>35</v>
      </c>
      <c r="I623" t="s">
        <v>20</v>
      </c>
      <c r="J623">
        <v>0</v>
      </c>
      <c r="K623">
        <v>1</v>
      </c>
      <c r="L623">
        <v>34</v>
      </c>
      <c r="M623">
        <v>5</v>
      </c>
      <c r="N623">
        <v>1</v>
      </c>
      <c r="O623" t="s">
        <v>36</v>
      </c>
      <c r="P623" t="str" cm="1">
        <f t="array" ref="P6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4" spans="1:16">
      <c r="A624">
        <v>3913</v>
      </c>
      <c r="B624" t="s">
        <v>59</v>
      </c>
      <c r="C624" t="s">
        <v>16</v>
      </c>
      <c r="D624">
        <v>1.1499999999999999</v>
      </c>
      <c r="E624">
        <v>15</v>
      </c>
      <c r="F624" t="s">
        <v>19</v>
      </c>
      <c r="G624" t="s">
        <v>18</v>
      </c>
      <c r="H624" t="s">
        <v>35</v>
      </c>
      <c r="I624" t="s">
        <v>20</v>
      </c>
      <c r="J624">
        <v>0</v>
      </c>
      <c r="K624">
        <v>0</v>
      </c>
      <c r="L624">
        <v>65</v>
      </c>
      <c r="M624">
        <v>2</v>
      </c>
      <c r="N624">
        <v>0</v>
      </c>
      <c r="O624" t="s">
        <v>21</v>
      </c>
      <c r="P624" t="str" cm="1">
        <f t="array" ref="P6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5" spans="1:16">
      <c r="A625">
        <v>7667</v>
      </c>
      <c r="B625" t="s">
        <v>46</v>
      </c>
      <c r="C625" t="s">
        <v>23</v>
      </c>
      <c r="D625">
        <v>185.3</v>
      </c>
      <c r="E625">
        <v>0</v>
      </c>
      <c r="F625" t="s">
        <v>19</v>
      </c>
      <c r="G625" t="s">
        <v>53</v>
      </c>
      <c r="H625" t="s">
        <v>25</v>
      </c>
      <c r="I625" t="s">
        <v>20</v>
      </c>
      <c r="J625">
        <v>0</v>
      </c>
      <c r="K625">
        <v>0</v>
      </c>
      <c r="L625">
        <v>50</v>
      </c>
      <c r="M625">
        <v>2</v>
      </c>
      <c r="N625">
        <v>0</v>
      </c>
      <c r="O625" t="s">
        <v>21</v>
      </c>
      <c r="P625" t="str" cm="1">
        <f t="array" ref="P6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6" spans="1:16">
      <c r="A626">
        <v>3421</v>
      </c>
      <c r="B626" t="s">
        <v>63</v>
      </c>
      <c r="C626" t="s">
        <v>28</v>
      </c>
      <c r="D626">
        <v>260.18</v>
      </c>
      <c r="E626">
        <v>9</v>
      </c>
      <c r="F626" t="s">
        <v>50</v>
      </c>
      <c r="G626" t="s">
        <v>24</v>
      </c>
      <c r="H626" t="s">
        <v>35</v>
      </c>
      <c r="I626" t="s">
        <v>26</v>
      </c>
      <c r="J626">
        <v>1</v>
      </c>
      <c r="K626">
        <v>0</v>
      </c>
      <c r="L626">
        <v>83</v>
      </c>
      <c r="M626">
        <v>3</v>
      </c>
      <c r="N626">
        <v>0</v>
      </c>
      <c r="O626" t="s">
        <v>21</v>
      </c>
      <c r="P626" t="str" cm="1">
        <f t="array" ref="P6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7" spans="1:16">
      <c r="A627">
        <v>7932</v>
      </c>
      <c r="B627" t="s">
        <v>51</v>
      </c>
      <c r="C627" t="s">
        <v>52</v>
      </c>
      <c r="D627">
        <v>263.95999999999998</v>
      </c>
      <c r="E627">
        <v>4</v>
      </c>
      <c r="F627" t="s">
        <v>19</v>
      </c>
      <c r="G627" t="s">
        <v>18</v>
      </c>
      <c r="H627" t="s">
        <v>48</v>
      </c>
      <c r="I627" t="s">
        <v>31</v>
      </c>
      <c r="J627">
        <v>0</v>
      </c>
      <c r="K627">
        <v>0</v>
      </c>
      <c r="L627">
        <v>27</v>
      </c>
      <c r="M627">
        <v>0</v>
      </c>
      <c r="N627">
        <v>0</v>
      </c>
      <c r="O627" t="s">
        <v>21</v>
      </c>
      <c r="P627" t="str" cm="1">
        <f t="array" ref="P62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8" spans="1:16">
      <c r="A628">
        <v>3373</v>
      </c>
      <c r="B628" t="s">
        <v>45</v>
      </c>
      <c r="C628" t="s">
        <v>28</v>
      </c>
      <c r="D628">
        <v>55.33</v>
      </c>
      <c r="E628">
        <v>13</v>
      </c>
      <c r="F628" t="s">
        <v>19</v>
      </c>
      <c r="G628" t="s">
        <v>44</v>
      </c>
      <c r="H628" t="s">
        <v>19</v>
      </c>
      <c r="I628" t="s">
        <v>20</v>
      </c>
      <c r="J628">
        <v>0</v>
      </c>
      <c r="K628">
        <v>0</v>
      </c>
      <c r="L628">
        <v>45</v>
      </c>
      <c r="M628">
        <v>4</v>
      </c>
      <c r="N628">
        <v>0</v>
      </c>
      <c r="O628" t="s">
        <v>21</v>
      </c>
      <c r="P628" t="str" cm="1">
        <f t="array" ref="P6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29" spans="1:16">
      <c r="A629">
        <v>8614</v>
      </c>
      <c r="B629" t="s">
        <v>27</v>
      </c>
      <c r="C629" t="s">
        <v>28</v>
      </c>
      <c r="D629">
        <v>20.190000000000001</v>
      </c>
      <c r="E629">
        <v>7</v>
      </c>
      <c r="F629" t="s">
        <v>34</v>
      </c>
      <c r="G629" t="s">
        <v>18</v>
      </c>
      <c r="H629" t="s">
        <v>19</v>
      </c>
      <c r="I629" t="s">
        <v>20</v>
      </c>
      <c r="J629">
        <v>0</v>
      </c>
      <c r="K629">
        <v>0</v>
      </c>
      <c r="L629">
        <v>82</v>
      </c>
      <c r="M629">
        <v>2</v>
      </c>
      <c r="N629">
        <v>0</v>
      </c>
      <c r="O629" t="s">
        <v>21</v>
      </c>
      <c r="P629" t="str" cm="1">
        <f t="array" ref="P6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0" spans="1:16">
      <c r="A630">
        <v>483</v>
      </c>
      <c r="B630" t="s">
        <v>64</v>
      </c>
      <c r="C630" t="s">
        <v>23</v>
      </c>
      <c r="D630">
        <v>109.1</v>
      </c>
      <c r="E630">
        <v>8</v>
      </c>
      <c r="F630" t="s">
        <v>17</v>
      </c>
      <c r="G630" t="s">
        <v>53</v>
      </c>
      <c r="H630" t="s">
        <v>41</v>
      </c>
      <c r="I630" t="s">
        <v>25</v>
      </c>
      <c r="J630">
        <v>0</v>
      </c>
      <c r="K630">
        <v>0</v>
      </c>
      <c r="L630">
        <v>64</v>
      </c>
      <c r="M630">
        <v>3</v>
      </c>
      <c r="N630">
        <v>0</v>
      </c>
      <c r="O630" t="s">
        <v>21</v>
      </c>
      <c r="P630" t="str" cm="1">
        <f t="array" ref="P6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1" spans="1:16">
      <c r="A631">
        <v>9754</v>
      </c>
      <c r="B631" t="s">
        <v>63</v>
      </c>
      <c r="C631" t="s">
        <v>28</v>
      </c>
      <c r="D631">
        <v>263.35000000000002</v>
      </c>
      <c r="E631">
        <v>9</v>
      </c>
      <c r="F631" t="s">
        <v>17</v>
      </c>
      <c r="G631" t="s">
        <v>44</v>
      </c>
      <c r="H631" t="s">
        <v>35</v>
      </c>
      <c r="I631" t="s">
        <v>20</v>
      </c>
      <c r="J631">
        <v>0</v>
      </c>
      <c r="K631">
        <v>0</v>
      </c>
      <c r="L631">
        <v>65</v>
      </c>
      <c r="M631">
        <v>1</v>
      </c>
      <c r="N631">
        <v>0</v>
      </c>
      <c r="O631" t="s">
        <v>21</v>
      </c>
      <c r="P631" t="str" cm="1">
        <f t="array" ref="P6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2" spans="1:16">
      <c r="A632">
        <v>9488</v>
      </c>
      <c r="B632" t="s">
        <v>73</v>
      </c>
      <c r="C632" t="s">
        <v>43</v>
      </c>
      <c r="D632">
        <v>37.11</v>
      </c>
      <c r="E632">
        <v>16</v>
      </c>
      <c r="F632" t="s">
        <v>34</v>
      </c>
      <c r="G632" t="s">
        <v>24</v>
      </c>
      <c r="H632" t="s">
        <v>35</v>
      </c>
      <c r="I632" t="s">
        <v>20</v>
      </c>
      <c r="J632">
        <v>0</v>
      </c>
      <c r="K632">
        <v>0</v>
      </c>
      <c r="L632">
        <v>68</v>
      </c>
      <c r="M632">
        <v>2</v>
      </c>
      <c r="N632">
        <v>0</v>
      </c>
      <c r="O632" t="s">
        <v>21</v>
      </c>
      <c r="P632" t="str" cm="1">
        <f t="array" ref="P6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3" spans="1:16">
      <c r="A633">
        <v>2394</v>
      </c>
      <c r="B633" t="s">
        <v>40</v>
      </c>
      <c r="C633" t="s">
        <v>33</v>
      </c>
      <c r="D633">
        <v>27.69</v>
      </c>
      <c r="E633">
        <v>4</v>
      </c>
      <c r="F633" t="s">
        <v>17</v>
      </c>
      <c r="G633" t="s">
        <v>24</v>
      </c>
      <c r="H633" t="s">
        <v>41</v>
      </c>
      <c r="I633" t="s">
        <v>20</v>
      </c>
      <c r="J633">
        <v>0</v>
      </c>
      <c r="K633">
        <v>0</v>
      </c>
      <c r="L633">
        <v>62</v>
      </c>
      <c r="M633">
        <v>3</v>
      </c>
      <c r="N633">
        <v>0</v>
      </c>
      <c r="O633" t="s">
        <v>21</v>
      </c>
      <c r="P633" t="str" cm="1">
        <f t="array" ref="P6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4" spans="1:16">
      <c r="A634">
        <v>1501</v>
      </c>
      <c r="B634" t="s">
        <v>37</v>
      </c>
      <c r="C634" t="s">
        <v>16</v>
      </c>
      <c r="D634">
        <v>131.77000000000001</v>
      </c>
      <c r="E634">
        <v>5</v>
      </c>
      <c r="F634" t="s">
        <v>17</v>
      </c>
      <c r="G634" t="s">
        <v>24</v>
      </c>
      <c r="H634" t="s">
        <v>48</v>
      </c>
      <c r="I634" t="s">
        <v>20</v>
      </c>
      <c r="J634">
        <v>0</v>
      </c>
      <c r="K634">
        <v>0</v>
      </c>
      <c r="L634">
        <v>92</v>
      </c>
      <c r="M634">
        <v>2</v>
      </c>
      <c r="N634">
        <v>0</v>
      </c>
      <c r="O634" t="s">
        <v>21</v>
      </c>
      <c r="P634" t="str" cm="1">
        <f t="array" ref="P6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5" spans="1:16">
      <c r="A635">
        <v>5270</v>
      </c>
      <c r="B635" t="s">
        <v>56</v>
      </c>
      <c r="C635" t="s">
        <v>52</v>
      </c>
      <c r="D635">
        <v>65.47</v>
      </c>
      <c r="E635">
        <v>18</v>
      </c>
      <c r="F635" t="s">
        <v>19</v>
      </c>
      <c r="G635" t="s">
        <v>44</v>
      </c>
      <c r="H635" t="s">
        <v>19</v>
      </c>
      <c r="I635" t="s">
        <v>31</v>
      </c>
      <c r="J635">
        <v>0</v>
      </c>
      <c r="K635">
        <v>0</v>
      </c>
      <c r="L635">
        <v>50</v>
      </c>
      <c r="M635">
        <v>3</v>
      </c>
      <c r="N635">
        <v>0</v>
      </c>
      <c r="O635" t="s">
        <v>21</v>
      </c>
      <c r="P635" t="str" cm="1">
        <f t="array" ref="P6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6" spans="1:16">
      <c r="A636">
        <v>4266</v>
      </c>
      <c r="B636" t="s">
        <v>47</v>
      </c>
      <c r="C636" t="s">
        <v>16</v>
      </c>
      <c r="D636">
        <v>105.02</v>
      </c>
      <c r="E636">
        <v>11</v>
      </c>
      <c r="F636" t="s">
        <v>50</v>
      </c>
      <c r="G636" t="s">
        <v>18</v>
      </c>
      <c r="H636" t="s">
        <v>41</v>
      </c>
      <c r="I636" t="s">
        <v>31</v>
      </c>
      <c r="J636">
        <v>0</v>
      </c>
      <c r="K636">
        <v>0</v>
      </c>
      <c r="L636">
        <v>74</v>
      </c>
      <c r="M636">
        <v>1</v>
      </c>
      <c r="N636">
        <v>0</v>
      </c>
      <c r="O636" t="s">
        <v>21</v>
      </c>
      <c r="P636" t="str" cm="1">
        <f t="array" ref="P6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7" spans="1:16">
      <c r="A637">
        <v>1828</v>
      </c>
      <c r="B637" t="s">
        <v>39</v>
      </c>
      <c r="C637" t="s">
        <v>28</v>
      </c>
      <c r="D637">
        <v>622.33000000000004</v>
      </c>
      <c r="E637">
        <v>19</v>
      </c>
      <c r="F637" t="s">
        <v>17</v>
      </c>
      <c r="G637" t="s">
        <v>24</v>
      </c>
      <c r="H637" t="s">
        <v>41</v>
      </c>
      <c r="I637" t="s">
        <v>20</v>
      </c>
      <c r="J637">
        <v>0</v>
      </c>
      <c r="K637">
        <v>0</v>
      </c>
      <c r="L637">
        <v>39</v>
      </c>
      <c r="M637">
        <v>1</v>
      </c>
      <c r="N637">
        <v>0</v>
      </c>
      <c r="O637" t="s">
        <v>21</v>
      </c>
      <c r="P637" t="str" cm="1">
        <f t="array" ref="P63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38" spans="1:16">
      <c r="A638">
        <v>1037</v>
      </c>
      <c r="B638" t="s">
        <v>56</v>
      </c>
      <c r="C638" t="s">
        <v>52</v>
      </c>
      <c r="D638">
        <v>74.760000000000005</v>
      </c>
      <c r="E638">
        <v>8</v>
      </c>
      <c r="F638" t="s">
        <v>19</v>
      </c>
      <c r="G638" t="s">
        <v>18</v>
      </c>
      <c r="H638" t="s">
        <v>25</v>
      </c>
      <c r="I638" t="s">
        <v>20</v>
      </c>
      <c r="J638">
        <v>0</v>
      </c>
      <c r="K638">
        <v>0</v>
      </c>
      <c r="L638">
        <v>74</v>
      </c>
      <c r="M638">
        <v>1</v>
      </c>
      <c r="N638">
        <v>0</v>
      </c>
      <c r="O638" t="s">
        <v>21</v>
      </c>
      <c r="P638" t="str" cm="1">
        <f t="array" ref="P6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39" spans="1:16">
      <c r="A639">
        <v>3464</v>
      </c>
      <c r="B639" t="s">
        <v>60</v>
      </c>
      <c r="C639" t="s">
        <v>23</v>
      </c>
      <c r="D639">
        <v>164.62</v>
      </c>
      <c r="E639">
        <v>9</v>
      </c>
      <c r="F639" t="s">
        <v>34</v>
      </c>
      <c r="G639" t="s">
        <v>24</v>
      </c>
      <c r="H639" t="s">
        <v>35</v>
      </c>
      <c r="I639" t="s">
        <v>20</v>
      </c>
      <c r="J639">
        <v>0</v>
      </c>
      <c r="K639">
        <v>0</v>
      </c>
      <c r="L639">
        <v>53</v>
      </c>
      <c r="M639">
        <v>2</v>
      </c>
      <c r="N639">
        <v>0</v>
      </c>
      <c r="O639" t="s">
        <v>21</v>
      </c>
      <c r="P639" t="str" cm="1">
        <f t="array" ref="P6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0" spans="1:16">
      <c r="A640">
        <v>656</v>
      </c>
      <c r="B640" t="s">
        <v>37</v>
      </c>
      <c r="C640" t="s">
        <v>16</v>
      </c>
      <c r="D640">
        <v>24.57</v>
      </c>
      <c r="E640">
        <v>9</v>
      </c>
      <c r="F640" t="s">
        <v>19</v>
      </c>
      <c r="G640" t="s">
        <v>44</v>
      </c>
      <c r="H640" t="s">
        <v>35</v>
      </c>
      <c r="I640" t="s">
        <v>31</v>
      </c>
      <c r="J640">
        <v>1</v>
      </c>
      <c r="K640">
        <v>1</v>
      </c>
      <c r="L640">
        <v>55</v>
      </c>
      <c r="M640">
        <v>6</v>
      </c>
      <c r="N640">
        <v>1</v>
      </c>
      <c r="O640" t="s">
        <v>36</v>
      </c>
      <c r="P640" t="str" cm="1">
        <f t="array" ref="P6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1" spans="1:16">
      <c r="A641">
        <v>5390</v>
      </c>
      <c r="B641" t="s">
        <v>54</v>
      </c>
      <c r="C641" t="s">
        <v>28</v>
      </c>
      <c r="D641">
        <v>358.37</v>
      </c>
      <c r="E641">
        <v>11</v>
      </c>
      <c r="F641" t="s">
        <v>50</v>
      </c>
      <c r="G641" t="s">
        <v>44</v>
      </c>
      <c r="H641" t="s">
        <v>19</v>
      </c>
      <c r="I641" t="s">
        <v>20</v>
      </c>
      <c r="J641">
        <v>0</v>
      </c>
      <c r="K641">
        <v>0</v>
      </c>
      <c r="L641">
        <v>52</v>
      </c>
      <c r="M641">
        <v>3</v>
      </c>
      <c r="N641">
        <v>0</v>
      </c>
      <c r="O641" t="s">
        <v>21</v>
      </c>
      <c r="P641" t="str" cm="1">
        <f t="array" ref="P6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2" spans="1:16">
      <c r="A642">
        <v>6321</v>
      </c>
      <c r="B642" t="s">
        <v>57</v>
      </c>
      <c r="C642" t="s">
        <v>43</v>
      </c>
      <c r="D642">
        <v>173.27</v>
      </c>
      <c r="E642">
        <v>3</v>
      </c>
      <c r="F642" t="s">
        <v>17</v>
      </c>
      <c r="G642" t="s">
        <v>38</v>
      </c>
      <c r="H642" t="s">
        <v>30</v>
      </c>
      <c r="I642" t="s">
        <v>20</v>
      </c>
      <c r="J642">
        <v>0</v>
      </c>
      <c r="K642">
        <v>0</v>
      </c>
      <c r="L642">
        <v>76</v>
      </c>
      <c r="M642">
        <v>2</v>
      </c>
      <c r="N642">
        <v>0</v>
      </c>
      <c r="O642" t="s">
        <v>21</v>
      </c>
      <c r="P642" t="str" cm="1">
        <f t="array" ref="P6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3" spans="1:16">
      <c r="A643">
        <v>6452</v>
      </c>
      <c r="B643" t="s">
        <v>22</v>
      </c>
      <c r="C643" t="s">
        <v>23</v>
      </c>
      <c r="D643">
        <v>1036.82</v>
      </c>
      <c r="E643">
        <v>0</v>
      </c>
      <c r="F643" t="s">
        <v>17</v>
      </c>
      <c r="G643" t="s">
        <v>24</v>
      </c>
      <c r="H643" t="s">
        <v>35</v>
      </c>
      <c r="I643" t="s">
        <v>31</v>
      </c>
      <c r="J643">
        <v>0</v>
      </c>
      <c r="K643">
        <v>0</v>
      </c>
      <c r="L643">
        <v>28</v>
      </c>
      <c r="M643">
        <v>0</v>
      </c>
      <c r="N643">
        <v>1</v>
      </c>
      <c r="O643" t="s">
        <v>36</v>
      </c>
      <c r="P643" t="str" cm="1">
        <f t="array" ref="P643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644" spans="1:16">
      <c r="A644">
        <v>3241</v>
      </c>
      <c r="B644" t="s">
        <v>59</v>
      </c>
      <c r="C644" t="s">
        <v>16</v>
      </c>
      <c r="D644">
        <v>96.74</v>
      </c>
      <c r="E644">
        <v>7</v>
      </c>
      <c r="F644" t="s">
        <v>50</v>
      </c>
      <c r="G644" t="s">
        <v>24</v>
      </c>
      <c r="H644" t="s">
        <v>35</v>
      </c>
      <c r="I644" t="s">
        <v>20</v>
      </c>
      <c r="J644">
        <v>0</v>
      </c>
      <c r="K644">
        <v>0</v>
      </c>
      <c r="L644">
        <v>78</v>
      </c>
      <c r="M644">
        <v>4</v>
      </c>
      <c r="N644">
        <v>0</v>
      </c>
      <c r="O644" t="s">
        <v>21</v>
      </c>
      <c r="P644" t="str" cm="1">
        <f t="array" ref="P6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5" spans="1:16">
      <c r="A645">
        <v>9515</v>
      </c>
      <c r="B645" t="s">
        <v>76</v>
      </c>
      <c r="C645" t="s">
        <v>43</v>
      </c>
      <c r="D645">
        <v>175.96</v>
      </c>
      <c r="E645">
        <v>2</v>
      </c>
      <c r="F645" t="s">
        <v>34</v>
      </c>
      <c r="G645" t="s">
        <v>44</v>
      </c>
      <c r="H645" t="s">
        <v>48</v>
      </c>
      <c r="I645" t="s">
        <v>20</v>
      </c>
      <c r="J645">
        <v>0</v>
      </c>
      <c r="K645">
        <v>0</v>
      </c>
      <c r="L645">
        <v>78</v>
      </c>
      <c r="M645">
        <v>0</v>
      </c>
      <c r="N645">
        <v>0</v>
      </c>
      <c r="O645" t="s">
        <v>21</v>
      </c>
      <c r="P645" t="str" cm="1">
        <f t="array" ref="P64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6" spans="1:16">
      <c r="A646">
        <v>1701</v>
      </c>
      <c r="B646" t="s">
        <v>40</v>
      </c>
      <c r="C646" t="s">
        <v>33</v>
      </c>
      <c r="D646">
        <v>607.71</v>
      </c>
      <c r="E646">
        <v>3</v>
      </c>
      <c r="F646" t="s">
        <v>29</v>
      </c>
      <c r="G646" t="s">
        <v>24</v>
      </c>
      <c r="H646" t="s">
        <v>35</v>
      </c>
      <c r="I646" t="s">
        <v>26</v>
      </c>
      <c r="J646">
        <v>0</v>
      </c>
      <c r="K646">
        <v>1</v>
      </c>
      <c r="L646">
        <v>25</v>
      </c>
      <c r="M646">
        <v>1</v>
      </c>
      <c r="N646">
        <v>1</v>
      </c>
      <c r="O646" t="s">
        <v>36</v>
      </c>
      <c r="P646" t="str" cm="1">
        <f t="array" ref="P646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47" spans="1:16">
      <c r="A647">
        <v>6864</v>
      </c>
      <c r="B647" t="s">
        <v>58</v>
      </c>
      <c r="C647" t="s">
        <v>43</v>
      </c>
      <c r="D647">
        <v>14.56</v>
      </c>
      <c r="E647">
        <v>12</v>
      </c>
      <c r="F647" t="s">
        <v>34</v>
      </c>
      <c r="G647" t="s">
        <v>53</v>
      </c>
      <c r="H647" t="s">
        <v>35</v>
      </c>
      <c r="I647" t="s">
        <v>20</v>
      </c>
      <c r="J647">
        <v>0</v>
      </c>
      <c r="K647">
        <v>0</v>
      </c>
      <c r="L647">
        <v>97</v>
      </c>
      <c r="M647">
        <v>0</v>
      </c>
      <c r="N647">
        <v>0</v>
      </c>
      <c r="O647" t="s">
        <v>21</v>
      </c>
      <c r="P647" t="str" cm="1">
        <f t="array" ref="P6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8" spans="1:16">
      <c r="A648">
        <v>9203</v>
      </c>
      <c r="B648" t="s">
        <v>51</v>
      </c>
      <c r="C648" t="s">
        <v>52</v>
      </c>
      <c r="D648">
        <v>164.61</v>
      </c>
      <c r="E648">
        <v>21</v>
      </c>
      <c r="F648" t="s">
        <v>34</v>
      </c>
      <c r="G648" t="s">
        <v>44</v>
      </c>
      <c r="H648" t="s">
        <v>30</v>
      </c>
      <c r="I648" t="s">
        <v>20</v>
      </c>
      <c r="J648">
        <v>0</v>
      </c>
      <c r="K648">
        <v>0</v>
      </c>
      <c r="L648">
        <v>29</v>
      </c>
      <c r="M648">
        <v>3</v>
      </c>
      <c r="N648">
        <v>0</v>
      </c>
      <c r="O648" t="s">
        <v>21</v>
      </c>
      <c r="P648" t="str" cm="1">
        <f t="array" ref="P6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49" spans="1:16">
      <c r="A649">
        <v>3331</v>
      </c>
      <c r="B649" t="s">
        <v>47</v>
      </c>
      <c r="C649" t="s">
        <v>16</v>
      </c>
      <c r="D649">
        <v>174.39</v>
      </c>
      <c r="E649">
        <v>16</v>
      </c>
      <c r="F649" t="s">
        <v>29</v>
      </c>
      <c r="G649" t="s">
        <v>38</v>
      </c>
      <c r="H649" t="s">
        <v>25</v>
      </c>
      <c r="I649" t="s">
        <v>20</v>
      </c>
      <c r="J649">
        <v>0</v>
      </c>
      <c r="K649">
        <v>0</v>
      </c>
      <c r="L649">
        <v>58</v>
      </c>
      <c r="M649">
        <v>0</v>
      </c>
      <c r="N649">
        <v>0</v>
      </c>
      <c r="O649" t="s">
        <v>21</v>
      </c>
      <c r="P649" t="str" cm="1">
        <f t="array" ref="P6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0" spans="1:16">
      <c r="A650">
        <v>3936</v>
      </c>
      <c r="B650" t="s">
        <v>32</v>
      </c>
      <c r="C650" t="s">
        <v>33</v>
      </c>
      <c r="D650">
        <v>142.32</v>
      </c>
      <c r="E650">
        <v>2</v>
      </c>
      <c r="F650" t="s">
        <v>50</v>
      </c>
      <c r="G650" t="s">
        <v>44</v>
      </c>
      <c r="H650" t="s">
        <v>35</v>
      </c>
      <c r="I650" t="s">
        <v>31</v>
      </c>
      <c r="J650">
        <v>1</v>
      </c>
      <c r="K650">
        <v>0</v>
      </c>
      <c r="L650">
        <v>62</v>
      </c>
      <c r="M650">
        <v>5</v>
      </c>
      <c r="N650">
        <v>1</v>
      </c>
      <c r="O650" t="s">
        <v>36</v>
      </c>
      <c r="P650" t="str" cm="1">
        <f t="array" ref="P6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1" spans="1:16">
      <c r="A651">
        <v>9059</v>
      </c>
      <c r="B651" t="s">
        <v>47</v>
      </c>
      <c r="C651" t="s">
        <v>16</v>
      </c>
      <c r="D651">
        <v>44.75</v>
      </c>
      <c r="E651">
        <v>12</v>
      </c>
      <c r="F651" t="s">
        <v>17</v>
      </c>
      <c r="G651" t="s">
        <v>44</v>
      </c>
      <c r="H651" t="s">
        <v>41</v>
      </c>
      <c r="I651" t="s">
        <v>20</v>
      </c>
      <c r="J651">
        <v>0</v>
      </c>
      <c r="K651">
        <v>1</v>
      </c>
      <c r="L651">
        <v>41</v>
      </c>
      <c r="M651">
        <v>1</v>
      </c>
      <c r="N651">
        <v>0</v>
      </c>
      <c r="O651" t="s">
        <v>21</v>
      </c>
      <c r="P651" t="str" cm="1">
        <f t="array" ref="P6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2" spans="1:16">
      <c r="A652">
        <v>386</v>
      </c>
      <c r="B652" t="s">
        <v>39</v>
      </c>
      <c r="C652" t="s">
        <v>28</v>
      </c>
      <c r="D652">
        <v>292.86</v>
      </c>
      <c r="E652">
        <v>5</v>
      </c>
      <c r="F652" t="s">
        <v>50</v>
      </c>
      <c r="G652" t="s">
        <v>18</v>
      </c>
      <c r="H652" t="s">
        <v>41</v>
      </c>
      <c r="I652" t="s">
        <v>31</v>
      </c>
      <c r="J652">
        <v>1</v>
      </c>
      <c r="K652">
        <v>0</v>
      </c>
      <c r="L652">
        <v>39</v>
      </c>
      <c r="M652">
        <v>4</v>
      </c>
      <c r="N652">
        <v>0</v>
      </c>
      <c r="O652" t="s">
        <v>21</v>
      </c>
      <c r="P652" t="str" cm="1">
        <f t="array" ref="P6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3" spans="1:16">
      <c r="A653">
        <v>1210</v>
      </c>
      <c r="B653" t="s">
        <v>56</v>
      </c>
      <c r="C653" t="s">
        <v>52</v>
      </c>
      <c r="D653">
        <v>1053.28</v>
      </c>
      <c r="E653">
        <v>16</v>
      </c>
      <c r="F653" t="s">
        <v>17</v>
      </c>
      <c r="G653" t="s">
        <v>18</v>
      </c>
      <c r="H653" t="s">
        <v>35</v>
      </c>
      <c r="I653" t="s">
        <v>20</v>
      </c>
      <c r="J653">
        <v>0</v>
      </c>
      <c r="K653">
        <v>0</v>
      </c>
      <c r="L653">
        <v>84</v>
      </c>
      <c r="M653">
        <v>0</v>
      </c>
      <c r="N653">
        <v>0</v>
      </c>
      <c r="O653" t="s">
        <v>21</v>
      </c>
      <c r="P653" t="str" cm="1">
        <f t="array" ref="P653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654" spans="1:16">
      <c r="A654">
        <v>124</v>
      </c>
      <c r="B654" t="s">
        <v>60</v>
      </c>
      <c r="C654" t="s">
        <v>23</v>
      </c>
      <c r="D654">
        <v>20.99</v>
      </c>
      <c r="E654">
        <v>15</v>
      </c>
      <c r="F654" t="s">
        <v>34</v>
      </c>
      <c r="G654" t="s">
        <v>24</v>
      </c>
      <c r="H654" t="s">
        <v>30</v>
      </c>
      <c r="I654" t="s">
        <v>20</v>
      </c>
      <c r="J654">
        <v>1</v>
      </c>
      <c r="K654">
        <v>1</v>
      </c>
      <c r="L654">
        <v>39</v>
      </c>
      <c r="M654">
        <v>2</v>
      </c>
      <c r="N654">
        <v>1</v>
      </c>
      <c r="O654" t="s">
        <v>36</v>
      </c>
      <c r="P654" t="str" cm="1">
        <f t="array" ref="P6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5" spans="1:16">
      <c r="A655">
        <v>2022</v>
      </c>
      <c r="B655" t="s">
        <v>40</v>
      </c>
      <c r="C655" t="s">
        <v>33</v>
      </c>
      <c r="D655">
        <v>147.85</v>
      </c>
      <c r="E655">
        <v>16</v>
      </c>
      <c r="F655" t="s">
        <v>34</v>
      </c>
      <c r="G655" t="s">
        <v>24</v>
      </c>
      <c r="H655" t="s">
        <v>25</v>
      </c>
      <c r="I655" t="s">
        <v>20</v>
      </c>
      <c r="J655">
        <v>0</v>
      </c>
      <c r="K655">
        <v>0</v>
      </c>
      <c r="L655">
        <v>90</v>
      </c>
      <c r="M655">
        <v>1</v>
      </c>
      <c r="N655">
        <v>0</v>
      </c>
      <c r="O655" t="s">
        <v>21</v>
      </c>
      <c r="P655" t="str" cm="1">
        <f t="array" ref="P6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6" spans="1:16">
      <c r="A656">
        <v>1981</v>
      </c>
      <c r="B656" t="s">
        <v>57</v>
      </c>
      <c r="C656" t="s">
        <v>43</v>
      </c>
      <c r="D656">
        <v>37.07</v>
      </c>
      <c r="E656">
        <v>16</v>
      </c>
      <c r="F656" t="s">
        <v>29</v>
      </c>
      <c r="G656" t="s">
        <v>18</v>
      </c>
      <c r="H656" t="s">
        <v>41</v>
      </c>
      <c r="I656" t="s">
        <v>20</v>
      </c>
      <c r="J656">
        <v>0</v>
      </c>
      <c r="K656">
        <v>0</v>
      </c>
      <c r="L656">
        <v>91</v>
      </c>
      <c r="M656">
        <v>2</v>
      </c>
      <c r="N656">
        <v>0</v>
      </c>
      <c r="O656" t="s">
        <v>21</v>
      </c>
      <c r="P656" t="str" cm="1">
        <f t="array" ref="P6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7" spans="1:16">
      <c r="A657">
        <v>6915</v>
      </c>
      <c r="B657" t="s">
        <v>60</v>
      </c>
      <c r="C657" t="s">
        <v>23</v>
      </c>
      <c r="D657">
        <v>62.12</v>
      </c>
      <c r="E657">
        <v>8</v>
      </c>
      <c r="F657" t="s">
        <v>19</v>
      </c>
      <c r="G657" t="s">
        <v>44</v>
      </c>
      <c r="H657" t="s">
        <v>35</v>
      </c>
      <c r="I657" t="s">
        <v>31</v>
      </c>
      <c r="J657">
        <v>0</v>
      </c>
      <c r="K657">
        <v>0</v>
      </c>
      <c r="L657">
        <v>72</v>
      </c>
      <c r="M657">
        <v>3</v>
      </c>
      <c r="N657">
        <v>0</v>
      </c>
      <c r="O657" t="s">
        <v>21</v>
      </c>
      <c r="P657" t="str" cm="1">
        <f t="array" ref="P6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8" spans="1:16">
      <c r="A658">
        <v>9169</v>
      </c>
      <c r="B658" t="s">
        <v>22</v>
      </c>
      <c r="C658" t="s">
        <v>23</v>
      </c>
      <c r="D658">
        <v>56.89</v>
      </c>
      <c r="E658">
        <v>7</v>
      </c>
      <c r="F658" t="s">
        <v>29</v>
      </c>
      <c r="G658" t="s">
        <v>24</v>
      </c>
      <c r="H658" t="s">
        <v>35</v>
      </c>
      <c r="I658" t="s">
        <v>31</v>
      </c>
      <c r="J658">
        <v>0</v>
      </c>
      <c r="K658">
        <v>0</v>
      </c>
      <c r="L658">
        <v>38</v>
      </c>
      <c r="M658">
        <v>4</v>
      </c>
      <c r="N658">
        <v>0</v>
      </c>
      <c r="O658" t="s">
        <v>21</v>
      </c>
      <c r="P658" t="str" cm="1">
        <f t="array" ref="P6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59" spans="1:16">
      <c r="A659">
        <v>4562</v>
      </c>
      <c r="B659" t="s">
        <v>49</v>
      </c>
      <c r="C659" t="s">
        <v>16</v>
      </c>
      <c r="D659">
        <v>60.95</v>
      </c>
      <c r="E659">
        <v>19</v>
      </c>
      <c r="F659" t="s">
        <v>29</v>
      </c>
      <c r="G659" t="s">
        <v>44</v>
      </c>
      <c r="H659" t="s">
        <v>19</v>
      </c>
      <c r="I659" t="s">
        <v>20</v>
      </c>
      <c r="J659">
        <v>0</v>
      </c>
      <c r="K659">
        <v>1</v>
      </c>
      <c r="L659">
        <v>64</v>
      </c>
      <c r="M659">
        <v>2</v>
      </c>
      <c r="N659">
        <v>0</v>
      </c>
      <c r="O659" t="s">
        <v>21</v>
      </c>
      <c r="P659" t="str" cm="1">
        <f t="array" ref="P6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0" spans="1:16">
      <c r="A660">
        <v>486</v>
      </c>
      <c r="B660" t="s">
        <v>68</v>
      </c>
      <c r="C660" t="s">
        <v>43</v>
      </c>
      <c r="D660">
        <v>416.56</v>
      </c>
      <c r="E660">
        <v>15</v>
      </c>
      <c r="F660" t="s">
        <v>34</v>
      </c>
      <c r="G660" t="s">
        <v>24</v>
      </c>
      <c r="H660" t="s">
        <v>41</v>
      </c>
      <c r="I660" t="s">
        <v>31</v>
      </c>
      <c r="J660">
        <v>0</v>
      </c>
      <c r="K660">
        <v>0</v>
      </c>
      <c r="L660">
        <v>79</v>
      </c>
      <c r="M660">
        <v>3</v>
      </c>
      <c r="N660">
        <v>0</v>
      </c>
      <c r="O660" t="s">
        <v>21</v>
      </c>
      <c r="P660" t="str" cm="1">
        <f t="array" ref="P6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1" spans="1:16">
      <c r="A661">
        <v>2287</v>
      </c>
      <c r="B661" t="s">
        <v>46</v>
      </c>
      <c r="C661" t="s">
        <v>23</v>
      </c>
      <c r="D661">
        <v>640.62</v>
      </c>
      <c r="E661">
        <v>18</v>
      </c>
      <c r="F661" t="s">
        <v>34</v>
      </c>
      <c r="G661" t="s">
        <v>24</v>
      </c>
      <c r="H661" t="s">
        <v>25</v>
      </c>
      <c r="I661" t="s">
        <v>25</v>
      </c>
      <c r="J661">
        <v>0</v>
      </c>
      <c r="K661">
        <v>0</v>
      </c>
      <c r="L661">
        <v>64</v>
      </c>
      <c r="M661">
        <v>1</v>
      </c>
      <c r="N661">
        <v>0</v>
      </c>
      <c r="O661" t="s">
        <v>21</v>
      </c>
      <c r="P661" t="str" cm="1">
        <f t="array" ref="P661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62" spans="1:16">
      <c r="A662">
        <v>6811</v>
      </c>
      <c r="B662" t="s">
        <v>54</v>
      </c>
      <c r="C662" t="s">
        <v>28</v>
      </c>
      <c r="D662">
        <v>267.7</v>
      </c>
      <c r="E662">
        <v>2</v>
      </c>
      <c r="F662" t="s">
        <v>29</v>
      </c>
      <c r="G662" t="s">
        <v>38</v>
      </c>
      <c r="H662" t="s">
        <v>48</v>
      </c>
      <c r="I662" t="s">
        <v>31</v>
      </c>
      <c r="J662">
        <v>0</v>
      </c>
      <c r="K662">
        <v>0</v>
      </c>
      <c r="L662">
        <v>39</v>
      </c>
      <c r="M662">
        <v>2</v>
      </c>
      <c r="N662">
        <v>0</v>
      </c>
      <c r="O662" t="s">
        <v>21</v>
      </c>
      <c r="P662" t="str" cm="1">
        <f t="array" ref="P6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3" spans="1:16">
      <c r="A663">
        <v>2689</v>
      </c>
      <c r="B663" t="s">
        <v>56</v>
      </c>
      <c r="C663" t="s">
        <v>52</v>
      </c>
      <c r="D663">
        <v>122.22</v>
      </c>
      <c r="E663">
        <v>23</v>
      </c>
      <c r="F663" t="s">
        <v>29</v>
      </c>
      <c r="G663" t="s">
        <v>38</v>
      </c>
      <c r="H663" t="s">
        <v>35</v>
      </c>
      <c r="I663" t="s">
        <v>20</v>
      </c>
      <c r="J663">
        <v>0</v>
      </c>
      <c r="K663">
        <v>0</v>
      </c>
      <c r="L663">
        <v>75</v>
      </c>
      <c r="M663">
        <v>3</v>
      </c>
      <c r="N663">
        <v>0</v>
      </c>
      <c r="O663" t="s">
        <v>21</v>
      </c>
      <c r="P663" t="str" cm="1">
        <f t="array" ref="P6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4" spans="1:16">
      <c r="A664">
        <v>2760</v>
      </c>
      <c r="B664" t="s">
        <v>49</v>
      </c>
      <c r="C664" t="s">
        <v>16</v>
      </c>
      <c r="D664">
        <v>11.56</v>
      </c>
      <c r="E664">
        <v>17</v>
      </c>
      <c r="F664" t="s">
        <v>17</v>
      </c>
      <c r="G664" t="s">
        <v>24</v>
      </c>
      <c r="H664" t="s">
        <v>25</v>
      </c>
      <c r="I664" t="s">
        <v>25</v>
      </c>
      <c r="J664">
        <v>1</v>
      </c>
      <c r="K664">
        <v>0</v>
      </c>
      <c r="L664">
        <v>47</v>
      </c>
      <c r="M664">
        <v>1</v>
      </c>
      <c r="N664">
        <v>0</v>
      </c>
      <c r="O664" t="s">
        <v>21</v>
      </c>
      <c r="P664" t="str" cm="1">
        <f t="array" ref="P6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5" spans="1:16">
      <c r="A665">
        <v>4610</v>
      </c>
      <c r="B665" t="s">
        <v>57</v>
      </c>
      <c r="C665" t="s">
        <v>43</v>
      </c>
      <c r="D665">
        <v>85.08</v>
      </c>
      <c r="E665">
        <v>14</v>
      </c>
      <c r="F665" t="s">
        <v>19</v>
      </c>
      <c r="G665" t="s">
        <v>38</v>
      </c>
      <c r="H665" t="s">
        <v>25</v>
      </c>
      <c r="I665" t="s">
        <v>31</v>
      </c>
      <c r="J665">
        <v>0</v>
      </c>
      <c r="K665">
        <v>0</v>
      </c>
      <c r="L665">
        <v>79</v>
      </c>
      <c r="M665">
        <v>4</v>
      </c>
      <c r="N665">
        <v>0</v>
      </c>
      <c r="O665" t="s">
        <v>21</v>
      </c>
      <c r="P665" t="str" cm="1">
        <f t="array" ref="P6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6" spans="1:16">
      <c r="A666">
        <v>6945</v>
      </c>
      <c r="B666" t="s">
        <v>37</v>
      </c>
      <c r="C666" t="s">
        <v>16</v>
      </c>
      <c r="D666">
        <v>150.38</v>
      </c>
      <c r="E666">
        <v>17</v>
      </c>
      <c r="F666" t="s">
        <v>29</v>
      </c>
      <c r="G666" t="s">
        <v>18</v>
      </c>
      <c r="H666" t="s">
        <v>35</v>
      </c>
      <c r="I666" t="s">
        <v>20</v>
      </c>
      <c r="J666">
        <v>0</v>
      </c>
      <c r="K666">
        <v>0</v>
      </c>
      <c r="L666">
        <v>80</v>
      </c>
      <c r="M666">
        <v>2</v>
      </c>
      <c r="N666">
        <v>0</v>
      </c>
      <c r="O666" t="s">
        <v>21</v>
      </c>
      <c r="P666" t="str" cm="1">
        <f t="array" ref="P6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7" spans="1:16">
      <c r="A667">
        <v>9531</v>
      </c>
      <c r="B667" t="s">
        <v>63</v>
      </c>
      <c r="C667" t="s">
        <v>28</v>
      </c>
      <c r="D667">
        <v>14.67</v>
      </c>
      <c r="E667">
        <v>23</v>
      </c>
      <c r="F667" t="s">
        <v>19</v>
      </c>
      <c r="G667" t="s">
        <v>53</v>
      </c>
      <c r="H667" t="s">
        <v>19</v>
      </c>
      <c r="I667" t="s">
        <v>26</v>
      </c>
      <c r="J667">
        <v>0</v>
      </c>
      <c r="K667">
        <v>0</v>
      </c>
      <c r="L667">
        <v>39</v>
      </c>
      <c r="M667">
        <v>5</v>
      </c>
      <c r="N667">
        <v>0</v>
      </c>
      <c r="O667" t="s">
        <v>21</v>
      </c>
      <c r="P667" t="str" cm="1">
        <f t="array" ref="P6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8" spans="1:16">
      <c r="A668">
        <v>428</v>
      </c>
      <c r="B668" t="s">
        <v>39</v>
      </c>
      <c r="C668" t="s">
        <v>28</v>
      </c>
      <c r="D668">
        <v>393.59</v>
      </c>
      <c r="E668">
        <v>18</v>
      </c>
      <c r="F668" t="s">
        <v>50</v>
      </c>
      <c r="G668" t="s">
        <v>18</v>
      </c>
      <c r="H668" t="s">
        <v>19</v>
      </c>
      <c r="I668" t="s">
        <v>20</v>
      </c>
      <c r="J668">
        <v>0</v>
      </c>
      <c r="K668">
        <v>0</v>
      </c>
      <c r="L668">
        <v>45</v>
      </c>
      <c r="M668">
        <v>2</v>
      </c>
      <c r="N668">
        <v>0</v>
      </c>
      <c r="O668" t="s">
        <v>21</v>
      </c>
      <c r="P668" t="str" cm="1">
        <f t="array" ref="P6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69" spans="1:16">
      <c r="A669">
        <v>8650</v>
      </c>
      <c r="B669" t="s">
        <v>32</v>
      </c>
      <c r="C669" t="s">
        <v>33</v>
      </c>
      <c r="D669">
        <v>43.28</v>
      </c>
      <c r="E669">
        <v>23</v>
      </c>
      <c r="F669" t="s">
        <v>34</v>
      </c>
      <c r="G669" t="s">
        <v>24</v>
      </c>
      <c r="H669" t="s">
        <v>25</v>
      </c>
      <c r="I669" t="s">
        <v>20</v>
      </c>
      <c r="J669">
        <v>0</v>
      </c>
      <c r="K669">
        <v>0</v>
      </c>
      <c r="L669">
        <v>45</v>
      </c>
      <c r="M669">
        <v>4</v>
      </c>
      <c r="N669">
        <v>0</v>
      </c>
      <c r="O669" t="s">
        <v>21</v>
      </c>
      <c r="P669" t="str" cm="1">
        <f t="array" ref="P6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0" spans="1:16">
      <c r="A670">
        <v>8337</v>
      </c>
      <c r="B670" t="s">
        <v>64</v>
      </c>
      <c r="C670" t="s">
        <v>23</v>
      </c>
      <c r="D670">
        <v>509.33</v>
      </c>
      <c r="E670">
        <v>14</v>
      </c>
      <c r="F670" t="s">
        <v>34</v>
      </c>
      <c r="G670" t="s">
        <v>24</v>
      </c>
      <c r="H670" t="s">
        <v>35</v>
      </c>
      <c r="I670" t="s">
        <v>20</v>
      </c>
      <c r="J670">
        <v>0</v>
      </c>
      <c r="K670">
        <v>0</v>
      </c>
      <c r="L670">
        <v>53</v>
      </c>
      <c r="M670">
        <v>3</v>
      </c>
      <c r="N670">
        <v>0</v>
      </c>
      <c r="O670" t="s">
        <v>21</v>
      </c>
      <c r="P670" t="str" cm="1">
        <f t="array" ref="P670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71" spans="1:16">
      <c r="A671">
        <v>8802</v>
      </c>
      <c r="B671" t="s">
        <v>54</v>
      </c>
      <c r="C671" t="s">
        <v>28</v>
      </c>
      <c r="D671">
        <v>53.78</v>
      </c>
      <c r="E671">
        <v>21</v>
      </c>
      <c r="F671" t="s">
        <v>29</v>
      </c>
      <c r="G671" t="s">
        <v>18</v>
      </c>
      <c r="H671" t="s">
        <v>35</v>
      </c>
      <c r="I671" t="s">
        <v>20</v>
      </c>
      <c r="J671">
        <v>1</v>
      </c>
      <c r="K671">
        <v>0</v>
      </c>
      <c r="L671">
        <v>65</v>
      </c>
      <c r="M671">
        <v>6</v>
      </c>
      <c r="N671">
        <v>0</v>
      </c>
      <c r="O671" t="s">
        <v>21</v>
      </c>
      <c r="P671" t="str" cm="1">
        <f t="array" ref="P6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2" spans="1:16">
      <c r="A672">
        <v>2423</v>
      </c>
      <c r="B672" t="s">
        <v>63</v>
      </c>
      <c r="C672" t="s">
        <v>28</v>
      </c>
      <c r="D672">
        <v>254.06</v>
      </c>
      <c r="E672">
        <v>8</v>
      </c>
      <c r="F672" t="s">
        <v>50</v>
      </c>
      <c r="G672" t="s">
        <v>24</v>
      </c>
      <c r="H672" t="s">
        <v>48</v>
      </c>
      <c r="I672" t="s">
        <v>20</v>
      </c>
      <c r="J672">
        <v>1</v>
      </c>
      <c r="K672">
        <v>0</v>
      </c>
      <c r="L672">
        <v>91</v>
      </c>
      <c r="M672">
        <v>6</v>
      </c>
      <c r="N672">
        <v>0</v>
      </c>
      <c r="O672" t="s">
        <v>21</v>
      </c>
      <c r="P672" t="str" cm="1">
        <f t="array" ref="P6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3" spans="1:16">
      <c r="A673">
        <v>3876</v>
      </c>
      <c r="B673" t="s">
        <v>59</v>
      </c>
      <c r="C673" t="s">
        <v>16</v>
      </c>
      <c r="D673">
        <v>97.8</v>
      </c>
      <c r="E673">
        <v>13</v>
      </c>
      <c r="F673" t="s">
        <v>17</v>
      </c>
      <c r="G673" t="s">
        <v>44</v>
      </c>
      <c r="H673" t="s">
        <v>19</v>
      </c>
      <c r="I673" t="s">
        <v>31</v>
      </c>
      <c r="J673">
        <v>0</v>
      </c>
      <c r="K673">
        <v>0</v>
      </c>
      <c r="L673">
        <v>34</v>
      </c>
      <c r="M673">
        <v>3</v>
      </c>
      <c r="N673">
        <v>0</v>
      </c>
      <c r="O673" t="s">
        <v>21</v>
      </c>
      <c r="P673" t="str" cm="1">
        <f t="array" ref="P6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4" spans="1:16">
      <c r="A674">
        <v>9174</v>
      </c>
      <c r="B674" t="s">
        <v>45</v>
      </c>
      <c r="C674" t="s">
        <v>28</v>
      </c>
      <c r="D674">
        <v>14.25</v>
      </c>
      <c r="E674">
        <v>22</v>
      </c>
      <c r="F674" t="s">
        <v>34</v>
      </c>
      <c r="G674" t="s">
        <v>24</v>
      </c>
      <c r="H674" t="s">
        <v>48</v>
      </c>
      <c r="I674" t="s">
        <v>25</v>
      </c>
      <c r="J674">
        <v>0</v>
      </c>
      <c r="K674">
        <v>0</v>
      </c>
      <c r="L674">
        <v>28</v>
      </c>
      <c r="M674">
        <v>2</v>
      </c>
      <c r="N674">
        <v>0</v>
      </c>
      <c r="O674" t="s">
        <v>21</v>
      </c>
      <c r="P674" t="str" cm="1">
        <f t="array" ref="P6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5" spans="1:16">
      <c r="A675">
        <v>8643</v>
      </c>
      <c r="B675" t="s">
        <v>15</v>
      </c>
      <c r="C675" t="s">
        <v>16</v>
      </c>
      <c r="D675">
        <v>58</v>
      </c>
      <c r="E675">
        <v>10</v>
      </c>
      <c r="F675" t="s">
        <v>29</v>
      </c>
      <c r="G675" t="s">
        <v>24</v>
      </c>
      <c r="H675" t="s">
        <v>41</v>
      </c>
      <c r="I675" t="s">
        <v>26</v>
      </c>
      <c r="J675">
        <v>0</v>
      </c>
      <c r="K675">
        <v>0</v>
      </c>
      <c r="L675">
        <v>35</v>
      </c>
      <c r="M675">
        <v>0</v>
      </c>
      <c r="N675">
        <v>0</v>
      </c>
      <c r="O675" t="s">
        <v>21</v>
      </c>
      <c r="P675" t="str" cm="1">
        <f t="array" ref="P6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6" spans="1:16">
      <c r="A676">
        <v>5654</v>
      </c>
      <c r="B676" t="s">
        <v>45</v>
      </c>
      <c r="C676" t="s">
        <v>28</v>
      </c>
      <c r="D676">
        <v>78.23</v>
      </c>
      <c r="E676">
        <v>5</v>
      </c>
      <c r="F676" t="s">
        <v>29</v>
      </c>
      <c r="G676" t="s">
        <v>24</v>
      </c>
      <c r="H676" t="s">
        <v>25</v>
      </c>
      <c r="I676" t="s">
        <v>26</v>
      </c>
      <c r="J676">
        <v>0</v>
      </c>
      <c r="K676">
        <v>0</v>
      </c>
      <c r="L676">
        <v>29</v>
      </c>
      <c r="M676">
        <v>4</v>
      </c>
      <c r="N676">
        <v>0</v>
      </c>
      <c r="O676" t="s">
        <v>21</v>
      </c>
      <c r="P676" t="str" cm="1">
        <f t="array" ref="P6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7" spans="1:16">
      <c r="A677">
        <v>7052</v>
      </c>
      <c r="B677" t="s">
        <v>45</v>
      </c>
      <c r="C677" t="s">
        <v>28</v>
      </c>
      <c r="D677">
        <v>134.86000000000001</v>
      </c>
      <c r="E677">
        <v>11</v>
      </c>
      <c r="F677" t="s">
        <v>29</v>
      </c>
      <c r="G677" t="s">
        <v>38</v>
      </c>
      <c r="H677" t="s">
        <v>35</v>
      </c>
      <c r="I677" t="s">
        <v>31</v>
      </c>
      <c r="J677">
        <v>1</v>
      </c>
      <c r="K677">
        <v>0</v>
      </c>
      <c r="L677">
        <v>83</v>
      </c>
      <c r="M677">
        <v>1</v>
      </c>
      <c r="N677">
        <v>0</v>
      </c>
      <c r="O677" t="s">
        <v>21</v>
      </c>
      <c r="P677" t="str" cm="1">
        <f t="array" ref="P6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8" spans="1:16">
      <c r="A678">
        <v>2187</v>
      </c>
      <c r="B678" t="s">
        <v>37</v>
      </c>
      <c r="C678" t="s">
        <v>16</v>
      </c>
      <c r="D678">
        <v>368.92</v>
      </c>
      <c r="E678">
        <v>23</v>
      </c>
      <c r="F678" t="s">
        <v>50</v>
      </c>
      <c r="G678" t="s">
        <v>24</v>
      </c>
      <c r="H678" t="s">
        <v>35</v>
      </c>
      <c r="I678" t="s">
        <v>26</v>
      </c>
      <c r="J678">
        <v>0</v>
      </c>
      <c r="K678">
        <v>0</v>
      </c>
      <c r="L678">
        <v>81</v>
      </c>
      <c r="M678">
        <v>6</v>
      </c>
      <c r="N678">
        <v>0</v>
      </c>
      <c r="O678" t="s">
        <v>21</v>
      </c>
      <c r="P678" t="str" cm="1">
        <f t="array" ref="P6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79" spans="1:16">
      <c r="A679">
        <v>1222</v>
      </c>
      <c r="B679" t="s">
        <v>61</v>
      </c>
      <c r="C679" t="s">
        <v>28</v>
      </c>
      <c r="D679">
        <v>29.48</v>
      </c>
      <c r="E679">
        <v>18</v>
      </c>
      <c r="F679" t="s">
        <v>19</v>
      </c>
      <c r="G679" t="s">
        <v>44</v>
      </c>
      <c r="H679" t="s">
        <v>19</v>
      </c>
      <c r="I679" t="s">
        <v>20</v>
      </c>
      <c r="J679">
        <v>0</v>
      </c>
      <c r="K679">
        <v>0</v>
      </c>
      <c r="L679">
        <v>80</v>
      </c>
      <c r="M679">
        <v>4</v>
      </c>
      <c r="N679">
        <v>0</v>
      </c>
      <c r="O679" t="s">
        <v>21</v>
      </c>
      <c r="P679" t="str" cm="1">
        <f t="array" ref="P6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0" spans="1:16">
      <c r="A680">
        <v>9751</v>
      </c>
      <c r="B680" t="s">
        <v>46</v>
      </c>
      <c r="C680" t="s">
        <v>23</v>
      </c>
      <c r="D680">
        <v>76.209999999999994</v>
      </c>
      <c r="E680">
        <v>6</v>
      </c>
      <c r="F680" t="s">
        <v>34</v>
      </c>
      <c r="G680" t="s">
        <v>38</v>
      </c>
      <c r="H680" t="s">
        <v>48</v>
      </c>
      <c r="I680" t="s">
        <v>31</v>
      </c>
      <c r="J680">
        <v>0</v>
      </c>
      <c r="K680">
        <v>0</v>
      </c>
      <c r="L680">
        <v>41</v>
      </c>
      <c r="M680">
        <v>1</v>
      </c>
      <c r="N680">
        <v>0</v>
      </c>
      <c r="O680" t="s">
        <v>21</v>
      </c>
      <c r="P680" t="str" cm="1">
        <f t="array" ref="P6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1" spans="1:16">
      <c r="A681">
        <v>8884</v>
      </c>
      <c r="B681" t="s">
        <v>37</v>
      </c>
      <c r="C681" t="s">
        <v>16</v>
      </c>
      <c r="D681">
        <v>69.33</v>
      </c>
      <c r="E681">
        <v>3</v>
      </c>
      <c r="F681" t="s">
        <v>50</v>
      </c>
      <c r="G681" t="s">
        <v>24</v>
      </c>
      <c r="H681" t="s">
        <v>41</v>
      </c>
      <c r="I681" t="s">
        <v>20</v>
      </c>
      <c r="J681">
        <v>0</v>
      </c>
      <c r="K681">
        <v>0</v>
      </c>
      <c r="L681">
        <v>71</v>
      </c>
      <c r="M681">
        <v>6</v>
      </c>
      <c r="N681">
        <v>0</v>
      </c>
      <c r="O681" t="s">
        <v>21</v>
      </c>
      <c r="P681" t="str" cm="1">
        <f t="array" ref="P6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2" spans="1:16">
      <c r="A682">
        <v>2202</v>
      </c>
      <c r="B682" t="s">
        <v>37</v>
      </c>
      <c r="C682" t="s">
        <v>16</v>
      </c>
      <c r="D682">
        <v>21.12</v>
      </c>
      <c r="E682">
        <v>13</v>
      </c>
      <c r="F682" t="s">
        <v>19</v>
      </c>
      <c r="G682" t="s">
        <v>38</v>
      </c>
      <c r="H682" t="s">
        <v>35</v>
      </c>
      <c r="I682" t="s">
        <v>26</v>
      </c>
      <c r="J682">
        <v>0</v>
      </c>
      <c r="K682">
        <v>0</v>
      </c>
      <c r="L682">
        <v>91</v>
      </c>
      <c r="M682">
        <v>0</v>
      </c>
      <c r="N682">
        <v>0</v>
      </c>
      <c r="O682" t="s">
        <v>21</v>
      </c>
      <c r="P682" t="str" cm="1">
        <f t="array" ref="P6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3" spans="1:16">
      <c r="A683">
        <v>8883</v>
      </c>
      <c r="B683" t="s">
        <v>42</v>
      </c>
      <c r="C683" t="s">
        <v>43</v>
      </c>
      <c r="D683">
        <v>6.26</v>
      </c>
      <c r="E683">
        <v>23</v>
      </c>
      <c r="F683" t="s">
        <v>29</v>
      </c>
      <c r="G683" t="s">
        <v>44</v>
      </c>
      <c r="H683" t="s">
        <v>35</v>
      </c>
      <c r="I683" t="s">
        <v>26</v>
      </c>
      <c r="J683">
        <v>0</v>
      </c>
      <c r="K683">
        <v>0</v>
      </c>
      <c r="L683">
        <v>33</v>
      </c>
      <c r="M683">
        <v>1</v>
      </c>
      <c r="N683">
        <v>0</v>
      </c>
      <c r="O683" t="s">
        <v>21</v>
      </c>
      <c r="P683" t="str" cm="1">
        <f t="array" ref="P6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4" spans="1:16">
      <c r="A684">
        <v>402</v>
      </c>
      <c r="B684" t="s">
        <v>59</v>
      </c>
      <c r="C684" t="s">
        <v>16</v>
      </c>
      <c r="D684">
        <v>419.12</v>
      </c>
      <c r="E684">
        <v>8</v>
      </c>
      <c r="F684" t="s">
        <v>17</v>
      </c>
      <c r="G684" t="s">
        <v>38</v>
      </c>
      <c r="H684" t="s">
        <v>41</v>
      </c>
      <c r="I684" t="s">
        <v>20</v>
      </c>
      <c r="J684">
        <v>1</v>
      </c>
      <c r="K684">
        <v>1</v>
      </c>
      <c r="L684">
        <v>82</v>
      </c>
      <c r="M684">
        <v>6</v>
      </c>
      <c r="N684">
        <v>1</v>
      </c>
      <c r="O684" t="s">
        <v>36</v>
      </c>
      <c r="P684" t="str" cm="1">
        <f t="array" ref="P6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5" spans="1:16">
      <c r="A685">
        <v>9188</v>
      </c>
      <c r="B685" t="s">
        <v>55</v>
      </c>
      <c r="C685" t="s">
        <v>28</v>
      </c>
      <c r="D685">
        <v>0.01</v>
      </c>
      <c r="E685">
        <v>17</v>
      </c>
      <c r="F685" t="s">
        <v>19</v>
      </c>
      <c r="G685" t="s">
        <v>24</v>
      </c>
      <c r="H685" t="s">
        <v>41</v>
      </c>
      <c r="I685" t="s">
        <v>31</v>
      </c>
      <c r="J685">
        <v>0</v>
      </c>
      <c r="K685">
        <v>0</v>
      </c>
      <c r="L685">
        <v>71</v>
      </c>
      <c r="M685">
        <v>4</v>
      </c>
      <c r="N685">
        <v>0</v>
      </c>
      <c r="O685" t="s">
        <v>21</v>
      </c>
      <c r="P685" t="str" cm="1">
        <f t="array" ref="P6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6" spans="1:16">
      <c r="A686">
        <v>2618</v>
      </c>
      <c r="B686" t="s">
        <v>56</v>
      </c>
      <c r="C686" t="s">
        <v>52</v>
      </c>
      <c r="D686">
        <v>56.74</v>
      </c>
      <c r="E686">
        <v>18</v>
      </c>
      <c r="F686" t="s">
        <v>19</v>
      </c>
      <c r="G686" t="s">
        <v>18</v>
      </c>
      <c r="H686" t="s">
        <v>41</v>
      </c>
      <c r="I686" t="s">
        <v>20</v>
      </c>
      <c r="J686">
        <v>0</v>
      </c>
      <c r="K686">
        <v>0</v>
      </c>
      <c r="L686">
        <v>78</v>
      </c>
      <c r="M686">
        <v>2</v>
      </c>
      <c r="N686">
        <v>0</v>
      </c>
      <c r="O686" t="s">
        <v>21</v>
      </c>
      <c r="P686" t="str" cm="1">
        <f t="array" ref="P6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7" spans="1:16">
      <c r="A687">
        <v>6346</v>
      </c>
      <c r="B687" t="s">
        <v>40</v>
      </c>
      <c r="C687" t="s">
        <v>33</v>
      </c>
      <c r="D687">
        <v>13.66</v>
      </c>
      <c r="E687">
        <v>16</v>
      </c>
      <c r="F687" t="s">
        <v>34</v>
      </c>
      <c r="G687" t="s">
        <v>44</v>
      </c>
      <c r="H687" t="s">
        <v>41</v>
      </c>
      <c r="I687" t="s">
        <v>20</v>
      </c>
      <c r="J687">
        <v>0</v>
      </c>
      <c r="K687">
        <v>0</v>
      </c>
      <c r="L687">
        <v>49</v>
      </c>
      <c r="M687">
        <v>2</v>
      </c>
      <c r="N687">
        <v>0</v>
      </c>
      <c r="O687" t="s">
        <v>21</v>
      </c>
      <c r="P687" t="str" cm="1">
        <f t="array" ref="P6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88" spans="1:16">
      <c r="A688">
        <v>811</v>
      </c>
      <c r="B688" t="s">
        <v>46</v>
      </c>
      <c r="C688" t="s">
        <v>23</v>
      </c>
      <c r="D688">
        <v>754.05</v>
      </c>
      <c r="E688">
        <v>20</v>
      </c>
      <c r="F688" t="s">
        <v>50</v>
      </c>
      <c r="G688" t="s">
        <v>18</v>
      </c>
      <c r="H688" t="s">
        <v>25</v>
      </c>
      <c r="I688" t="s">
        <v>20</v>
      </c>
      <c r="J688">
        <v>0</v>
      </c>
      <c r="K688">
        <v>0</v>
      </c>
      <c r="L688">
        <v>67</v>
      </c>
      <c r="M688">
        <v>1</v>
      </c>
      <c r="N688">
        <v>0</v>
      </c>
      <c r="O688" t="s">
        <v>21</v>
      </c>
      <c r="P688" t="str" cm="1">
        <f t="array" ref="P688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689" spans="1:16">
      <c r="A689">
        <v>5064</v>
      </c>
      <c r="B689" t="s">
        <v>57</v>
      </c>
      <c r="C689" t="s">
        <v>43</v>
      </c>
      <c r="D689">
        <v>71.52</v>
      </c>
      <c r="E689">
        <v>1</v>
      </c>
      <c r="F689" t="s">
        <v>34</v>
      </c>
      <c r="G689" t="s">
        <v>24</v>
      </c>
      <c r="H689" t="s">
        <v>48</v>
      </c>
      <c r="I689" t="s">
        <v>25</v>
      </c>
      <c r="J689">
        <v>1</v>
      </c>
      <c r="K689">
        <v>0</v>
      </c>
      <c r="L689">
        <v>31</v>
      </c>
      <c r="M689">
        <v>3</v>
      </c>
      <c r="N689">
        <v>1</v>
      </c>
      <c r="O689" t="s">
        <v>36</v>
      </c>
      <c r="P689" t="str" cm="1">
        <f t="array" ref="P6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0" spans="1:16">
      <c r="A690">
        <v>9422</v>
      </c>
      <c r="B690" t="s">
        <v>37</v>
      </c>
      <c r="C690" t="s">
        <v>16</v>
      </c>
      <c r="D690">
        <v>143.37</v>
      </c>
      <c r="E690">
        <v>8</v>
      </c>
      <c r="F690" t="s">
        <v>29</v>
      </c>
      <c r="G690" t="s">
        <v>24</v>
      </c>
      <c r="H690" t="s">
        <v>48</v>
      </c>
      <c r="I690" t="s">
        <v>20</v>
      </c>
      <c r="J690">
        <v>1</v>
      </c>
      <c r="K690">
        <v>0</v>
      </c>
      <c r="L690">
        <v>49</v>
      </c>
      <c r="M690">
        <v>0</v>
      </c>
      <c r="N690">
        <v>0</v>
      </c>
      <c r="O690" t="s">
        <v>21</v>
      </c>
      <c r="P690" t="str" cm="1">
        <f t="array" ref="P6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1" spans="1:16">
      <c r="A691">
        <v>6822</v>
      </c>
      <c r="B691" t="s">
        <v>65</v>
      </c>
      <c r="C691" t="s">
        <v>16</v>
      </c>
      <c r="D691">
        <v>132.24</v>
      </c>
      <c r="E691">
        <v>8</v>
      </c>
      <c r="F691" t="s">
        <v>19</v>
      </c>
      <c r="G691" t="s">
        <v>44</v>
      </c>
      <c r="H691" t="s">
        <v>35</v>
      </c>
      <c r="I691" t="s">
        <v>20</v>
      </c>
      <c r="J691">
        <v>1</v>
      </c>
      <c r="K691">
        <v>0</v>
      </c>
      <c r="L691">
        <v>44</v>
      </c>
      <c r="M691">
        <v>3</v>
      </c>
      <c r="N691">
        <v>0</v>
      </c>
      <c r="O691" t="s">
        <v>21</v>
      </c>
      <c r="P691" t="str" cm="1">
        <f t="array" ref="P6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2" spans="1:16">
      <c r="A692">
        <v>4900</v>
      </c>
      <c r="B692" t="s">
        <v>58</v>
      </c>
      <c r="C692" t="s">
        <v>43</v>
      </c>
      <c r="D692">
        <v>435.09</v>
      </c>
      <c r="E692">
        <v>7</v>
      </c>
      <c r="F692" t="s">
        <v>19</v>
      </c>
      <c r="G692" t="s">
        <v>18</v>
      </c>
      <c r="H692" t="s">
        <v>35</v>
      </c>
      <c r="I692" t="s">
        <v>31</v>
      </c>
      <c r="J692">
        <v>0</v>
      </c>
      <c r="K692">
        <v>0</v>
      </c>
      <c r="L692">
        <v>84</v>
      </c>
      <c r="M692">
        <v>0</v>
      </c>
      <c r="N692">
        <v>0</v>
      </c>
      <c r="O692" t="s">
        <v>21</v>
      </c>
      <c r="P692" t="str" cm="1">
        <f t="array" ref="P6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3" spans="1:16">
      <c r="A693">
        <v>979</v>
      </c>
      <c r="B693" t="s">
        <v>32</v>
      </c>
      <c r="C693" t="s">
        <v>33</v>
      </c>
      <c r="D693">
        <v>123.46</v>
      </c>
      <c r="E693">
        <v>17</v>
      </c>
      <c r="F693" t="s">
        <v>29</v>
      </c>
      <c r="G693" t="s">
        <v>38</v>
      </c>
      <c r="H693" t="s">
        <v>19</v>
      </c>
      <c r="I693" t="s">
        <v>20</v>
      </c>
      <c r="J693">
        <v>0</v>
      </c>
      <c r="K693">
        <v>1</v>
      </c>
      <c r="L693">
        <v>68</v>
      </c>
      <c r="M693">
        <v>0</v>
      </c>
      <c r="N693">
        <v>0</v>
      </c>
      <c r="O693" t="s">
        <v>21</v>
      </c>
      <c r="P693" t="str" cm="1">
        <f t="array" ref="P6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4" spans="1:16">
      <c r="A694">
        <v>7222</v>
      </c>
      <c r="B694" t="s">
        <v>39</v>
      </c>
      <c r="C694" t="s">
        <v>28</v>
      </c>
      <c r="D694">
        <v>50.52</v>
      </c>
      <c r="E694">
        <v>9</v>
      </c>
      <c r="F694" t="s">
        <v>19</v>
      </c>
      <c r="G694" t="s">
        <v>38</v>
      </c>
      <c r="H694" t="s">
        <v>35</v>
      </c>
      <c r="I694" t="s">
        <v>25</v>
      </c>
      <c r="J694">
        <v>0</v>
      </c>
      <c r="K694">
        <v>0</v>
      </c>
      <c r="L694">
        <v>45</v>
      </c>
      <c r="M694">
        <v>3</v>
      </c>
      <c r="N694">
        <v>0</v>
      </c>
      <c r="O694" t="s">
        <v>21</v>
      </c>
      <c r="P694" t="str" cm="1">
        <f t="array" ref="P6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5" spans="1:16">
      <c r="A695">
        <v>502</v>
      </c>
      <c r="B695" t="s">
        <v>46</v>
      </c>
      <c r="C695" t="s">
        <v>23</v>
      </c>
      <c r="D695">
        <v>138.25</v>
      </c>
      <c r="E695">
        <v>16</v>
      </c>
      <c r="F695" t="s">
        <v>29</v>
      </c>
      <c r="G695" t="s">
        <v>24</v>
      </c>
      <c r="H695" t="s">
        <v>41</v>
      </c>
      <c r="I695" t="s">
        <v>20</v>
      </c>
      <c r="J695">
        <v>0</v>
      </c>
      <c r="K695">
        <v>0</v>
      </c>
      <c r="L695">
        <v>26</v>
      </c>
      <c r="M695">
        <v>3</v>
      </c>
      <c r="N695">
        <v>0</v>
      </c>
      <c r="O695" t="s">
        <v>21</v>
      </c>
      <c r="P695" t="str" cm="1">
        <f t="array" ref="P6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6" spans="1:16">
      <c r="A696">
        <v>1380</v>
      </c>
      <c r="B696" t="s">
        <v>57</v>
      </c>
      <c r="C696" t="s">
        <v>43</v>
      </c>
      <c r="D696">
        <v>161.79</v>
      </c>
      <c r="E696">
        <v>19</v>
      </c>
      <c r="F696" t="s">
        <v>50</v>
      </c>
      <c r="G696" t="s">
        <v>53</v>
      </c>
      <c r="H696" t="s">
        <v>48</v>
      </c>
      <c r="I696" t="s">
        <v>20</v>
      </c>
      <c r="J696">
        <v>1</v>
      </c>
      <c r="K696">
        <v>0</v>
      </c>
      <c r="L696">
        <v>83</v>
      </c>
      <c r="M696">
        <v>3</v>
      </c>
      <c r="N696">
        <v>0</v>
      </c>
      <c r="O696" t="s">
        <v>21</v>
      </c>
      <c r="P696" t="str" cm="1">
        <f t="array" ref="P6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7" spans="1:16">
      <c r="A697">
        <v>2824</v>
      </c>
      <c r="B697" t="s">
        <v>49</v>
      </c>
      <c r="C697" t="s">
        <v>16</v>
      </c>
      <c r="D697">
        <v>45.2</v>
      </c>
      <c r="E697">
        <v>16</v>
      </c>
      <c r="F697" t="s">
        <v>17</v>
      </c>
      <c r="G697" t="s">
        <v>24</v>
      </c>
      <c r="H697" t="s">
        <v>30</v>
      </c>
      <c r="I697" t="s">
        <v>20</v>
      </c>
      <c r="J697">
        <v>0</v>
      </c>
      <c r="K697">
        <v>0</v>
      </c>
      <c r="L697">
        <v>71</v>
      </c>
      <c r="M697">
        <v>3</v>
      </c>
      <c r="N697">
        <v>0</v>
      </c>
      <c r="O697" t="s">
        <v>21</v>
      </c>
      <c r="P697" t="str" cm="1">
        <f t="array" ref="P6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8" spans="1:16">
      <c r="A698">
        <v>7536</v>
      </c>
      <c r="B698" t="s">
        <v>45</v>
      </c>
      <c r="C698" t="s">
        <v>28</v>
      </c>
      <c r="D698">
        <v>217.49</v>
      </c>
      <c r="E698">
        <v>20</v>
      </c>
      <c r="F698" t="s">
        <v>17</v>
      </c>
      <c r="G698" t="s">
        <v>18</v>
      </c>
      <c r="H698" t="s">
        <v>25</v>
      </c>
      <c r="I698" t="s">
        <v>20</v>
      </c>
      <c r="J698">
        <v>0</v>
      </c>
      <c r="K698">
        <v>0</v>
      </c>
      <c r="L698">
        <v>92</v>
      </c>
      <c r="M698">
        <v>2</v>
      </c>
      <c r="N698">
        <v>0</v>
      </c>
      <c r="O698" t="s">
        <v>21</v>
      </c>
      <c r="P698" t="str" cm="1">
        <f t="array" ref="P6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699" spans="1:16">
      <c r="A699">
        <v>774</v>
      </c>
      <c r="B699" t="s">
        <v>51</v>
      </c>
      <c r="C699" t="s">
        <v>52</v>
      </c>
      <c r="D699">
        <v>91.14</v>
      </c>
      <c r="E699">
        <v>8</v>
      </c>
      <c r="F699" t="s">
        <v>29</v>
      </c>
      <c r="G699" t="s">
        <v>24</v>
      </c>
      <c r="H699" t="s">
        <v>41</v>
      </c>
      <c r="I699" t="s">
        <v>20</v>
      </c>
      <c r="J699">
        <v>0</v>
      </c>
      <c r="K699">
        <v>0</v>
      </c>
      <c r="L699">
        <v>65</v>
      </c>
      <c r="M699">
        <v>4</v>
      </c>
      <c r="N699">
        <v>0</v>
      </c>
      <c r="O699" t="s">
        <v>21</v>
      </c>
      <c r="P699" t="str" cm="1">
        <f t="array" ref="P6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0" spans="1:16">
      <c r="A700">
        <v>1332</v>
      </c>
      <c r="B700" t="s">
        <v>54</v>
      </c>
      <c r="C700" t="s">
        <v>28</v>
      </c>
      <c r="D700">
        <v>228.62</v>
      </c>
      <c r="E700">
        <v>4</v>
      </c>
      <c r="F700" t="s">
        <v>34</v>
      </c>
      <c r="G700" t="s">
        <v>18</v>
      </c>
      <c r="H700" t="s">
        <v>25</v>
      </c>
      <c r="I700" t="s">
        <v>20</v>
      </c>
      <c r="J700">
        <v>0</v>
      </c>
      <c r="K700">
        <v>0</v>
      </c>
      <c r="L700">
        <v>39</v>
      </c>
      <c r="M700">
        <v>1</v>
      </c>
      <c r="N700">
        <v>0</v>
      </c>
      <c r="O700" t="s">
        <v>21</v>
      </c>
      <c r="P700" t="str" cm="1">
        <f t="array" ref="P7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1" spans="1:16">
      <c r="A701">
        <v>6800</v>
      </c>
      <c r="B701" t="s">
        <v>65</v>
      </c>
      <c r="C701" t="s">
        <v>16</v>
      </c>
      <c r="D701">
        <v>134.69</v>
      </c>
      <c r="E701">
        <v>4</v>
      </c>
      <c r="F701" t="s">
        <v>17</v>
      </c>
      <c r="G701" t="s">
        <v>24</v>
      </c>
      <c r="H701" t="s">
        <v>41</v>
      </c>
      <c r="I701" t="s">
        <v>20</v>
      </c>
      <c r="J701">
        <v>0</v>
      </c>
      <c r="K701">
        <v>0</v>
      </c>
      <c r="L701">
        <v>31</v>
      </c>
      <c r="M701">
        <v>3</v>
      </c>
      <c r="N701">
        <v>0</v>
      </c>
      <c r="O701" t="s">
        <v>21</v>
      </c>
      <c r="P701" t="str" cm="1">
        <f t="array" ref="P7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2" spans="1:16">
      <c r="A702">
        <v>5250</v>
      </c>
      <c r="B702" t="s">
        <v>27</v>
      </c>
      <c r="C702" t="s">
        <v>28</v>
      </c>
      <c r="D702">
        <v>116.02</v>
      </c>
      <c r="E702">
        <v>20</v>
      </c>
      <c r="F702" t="s">
        <v>29</v>
      </c>
      <c r="G702" t="s">
        <v>18</v>
      </c>
      <c r="H702" t="s">
        <v>35</v>
      </c>
      <c r="I702" t="s">
        <v>20</v>
      </c>
      <c r="J702">
        <v>0</v>
      </c>
      <c r="K702">
        <v>0</v>
      </c>
      <c r="L702">
        <v>93</v>
      </c>
      <c r="M702">
        <v>5</v>
      </c>
      <c r="N702">
        <v>0</v>
      </c>
      <c r="O702" t="s">
        <v>21</v>
      </c>
      <c r="P702" t="str" cm="1">
        <f t="array" ref="P7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3" spans="1:16">
      <c r="A703">
        <v>3992</v>
      </c>
      <c r="B703" t="s">
        <v>15</v>
      </c>
      <c r="C703" t="s">
        <v>16</v>
      </c>
      <c r="D703">
        <v>42.69</v>
      </c>
      <c r="E703">
        <v>23</v>
      </c>
      <c r="F703" t="s">
        <v>34</v>
      </c>
      <c r="G703" t="s">
        <v>24</v>
      </c>
      <c r="H703" t="s">
        <v>35</v>
      </c>
      <c r="I703" t="s">
        <v>20</v>
      </c>
      <c r="J703">
        <v>1</v>
      </c>
      <c r="K703">
        <v>1</v>
      </c>
      <c r="L703">
        <v>39</v>
      </c>
      <c r="M703">
        <v>4</v>
      </c>
      <c r="N703">
        <v>1</v>
      </c>
      <c r="O703" t="s">
        <v>36</v>
      </c>
      <c r="P703" t="str" cm="1">
        <f t="array" ref="P7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4" spans="1:16">
      <c r="A704">
        <v>5113</v>
      </c>
      <c r="B704" t="s">
        <v>71</v>
      </c>
      <c r="C704" t="s">
        <v>33</v>
      </c>
      <c r="D704">
        <v>165.29</v>
      </c>
      <c r="E704">
        <v>19</v>
      </c>
      <c r="F704" t="s">
        <v>50</v>
      </c>
      <c r="G704" t="s">
        <v>24</v>
      </c>
      <c r="H704" t="s">
        <v>35</v>
      </c>
      <c r="I704" t="s">
        <v>20</v>
      </c>
      <c r="J704">
        <v>0</v>
      </c>
      <c r="K704">
        <v>0</v>
      </c>
      <c r="L704">
        <v>37</v>
      </c>
      <c r="M704">
        <v>2</v>
      </c>
      <c r="N704">
        <v>0</v>
      </c>
      <c r="O704" t="s">
        <v>21</v>
      </c>
      <c r="P704" t="str" cm="1">
        <f t="array" ref="P7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5" spans="1:16">
      <c r="A705">
        <v>9452</v>
      </c>
      <c r="B705" t="s">
        <v>59</v>
      </c>
      <c r="C705" t="s">
        <v>16</v>
      </c>
      <c r="D705">
        <v>177.15</v>
      </c>
      <c r="E705">
        <v>18</v>
      </c>
      <c r="F705" t="s">
        <v>34</v>
      </c>
      <c r="G705" t="s">
        <v>24</v>
      </c>
      <c r="H705" t="s">
        <v>19</v>
      </c>
      <c r="I705" t="s">
        <v>26</v>
      </c>
      <c r="J705">
        <v>0</v>
      </c>
      <c r="K705">
        <v>0</v>
      </c>
      <c r="L705">
        <v>53</v>
      </c>
      <c r="M705">
        <v>2</v>
      </c>
      <c r="N705">
        <v>0</v>
      </c>
      <c r="O705" t="s">
        <v>21</v>
      </c>
      <c r="P705" t="str" cm="1">
        <f t="array" ref="P7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6" spans="1:16">
      <c r="A706">
        <v>746</v>
      </c>
      <c r="B706" t="s">
        <v>45</v>
      </c>
      <c r="C706" t="s">
        <v>28</v>
      </c>
      <c r="D706">
        <v>413.7</v>
      </c>
      <c r="E706">
        <v>4</v>
      </c>
      <c r="F706" t="s">
        <v>17</v>
      </c>
      <c r="G706" t="s">
        <v>24</v>
      </c>
      <c r="H706" t="s">
        <v>35</v>
      </c>
      <c r="I706" t="s">
        <v>20</v>
      </c>
      <c r="J706">
        <v>0</v>
      </c>
      <c r="K706">
        <v>0</v>
      </c>
      <c r="L706">
        <v>93</v>
      </c>
      <c r="M706">
        <v>1</v>
      </c>
      <c r="N706">
        <v>0</v>
      </c>
      <c r="O706" t="s">
        <v>21</v>
      </c>
      <c r="P706" t="str" cm="1">
        <f t="array" ref="P7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7" spans="1:16">
      <c r="A707">
        <v>3293</v>
      </c>
      <c r="B707" t="s">
        <v>45</v>
      </c>
      <c r="C707" t="s">
        <v>28</v>
      </c>
      <c r="D707">
        <v>88.8</v>
      </c>
      <c r="E707">
        <v>7</v>
      </c>
      <c r="F707" t="s">
        <v>29</v>
      </c>
      <c r="G707" t="s">
        <v>24</v>
      </c>
      <c r="H707" t="s">
        <v>35</v>
      </c>
      <c r="I707" t="s">
        <v>25</v>
      </c>
      <c r="J707">
        <v>0</v>
      </c>
      <c r="K707">
        <v>0</v>
      </c>
      <c r="L707">
        <v>77</v>
      </c>
      <c r="M707">
        <v>3</v>
      </c>
      <c r="N707">
        <v>0</v>
      </c>
      <c r="O707" t="s">
        <v>21</v>
      </c>
      <c r="P707" t="str" cm="1">
        <f t="array" ref="P7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8" spans="1:16">
      <c r="A708">
        <v>2304</v>
      </c>
      <c r="B708" t="s">
        <v>22</v>
      </c>
      <c r="C708" t="s">
        <v>23</v>
      </c>
      <c r="D708">
        <v>62.53</v>
      </c>
      <c r="E708">
        <v>0</v>
      </c>
      <c r="F708" t="s">
        <v>50</v>
      </c>
      <c r="G708" t="s">
        <v>44</v>
      </c>
      <c r="H708" t="s">
        <v>35</v>
      </c>
      <c r="I708" t="s">
        <v>31</v>
      </c>
      <c r="J708">
        <v>0</v>
      </c>
      <c r="K708">
        <v>0</v>
      </c>
      <c r="L708">
        <v>96</v>
      </c>
      <c r="M708">
        <v>3</v>
      </c>
      <c r="N708">
        <v>0</v>
      </c>
      <c r="O708" t="s">
        <v>21</v>
      </c>
      <c r="P708" t="str" cm="1">
        <f t="array" ref="P7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09" spans="1:16">
      <c r="A709">
        <v>1373</v>
      </c>
      <c r="B709" t="s">
        <v>39</v>
      </c>
      <c r="C709" t="s">
        <v>28</v>
      </c>
      <c r="D709">
        <v>346.82</v>
      </c>
      <c r="E709">
        <v>6</v>
      </c>
      <c r="F709" t="s">
        <v>17</v>
      </c>
      <c r="G709" t="s">
        <v>53</v>
      </c>
      <c r="H709" t="s">
        <v>41</v>
      </c>
      <c r="I709" t="s">
        <v>26</v>
      </c>
      <c r="J709">
        <v>1</v>
      </c>
      <c r="K709">
        <v>0</v>
      </c>
      <c r="L709">
        <v>49</v>
      </c>
      <c r="M709">
        <v>2</v>
      </c>
      <c r="N709">
        <v>0</v>
      </c>
      <c r="O709" t="s">
        <v>21</v>
      </c>
      <c r="P709" t="str" cm="1">
        <f t="array" ref="P7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0" spans="1:16">
      <c r="A710">
        <v>2094</v>
      </c>
      <c r="B710" t="s">
        <v>49</v>
      </c>
      <c r="C710" t="s">
        <v>16</v>
      </c>
      <c r="D710">
        <v>133.37</v>
      </c>
      <c r="E710">
        <v>9</v>
      </c>
      <c r="F710" t="s">
        <v>50</v>
      </c>
      <c r="G710" t="s">
        <v>18</v>
      </c>
      <c r="H710" t="s">
        <v>48</v>
      </c>
      <c r="I710" t="s">
        <v>20</v>
      </c>
      <c r="J710">
        <v>0</v>
      </c>
      <c r="K710">
        <v>0</v>
      </c>
      <c r="L710">
        <v>96</v>
      </c>
      <c r="M710">
        <v>0</v>
      </c>
      <c r="N710">
        <v>0</v>
      </c>
      <c r="O710" t="s">
        <v>21</v>
      </c>
      <c r="P710" t="str" cm="1">
        <f t="array" ref="P7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1" spans="1:16">
      <c r="A711">
        <v>9331</v>
      </c>
      <c r="B711" t="s">
        <v>40</v>
      </c>
      <c r="C711" t="s">
        <v>33</v>
      </c>
      <c r="D711">
        <v>214.14</v>
      </c>
      <c r="E711">
        <v>23</v>
      </c>
      <c r="F711" t="s">
        <v>50</v>
      </c>
      <c r="G711" t="s">
        <v>18</v>
      </c>
      <c r="H711" t="s">
        <v>19</v>
      </c>
      <c r="I711" t="s">
        <v>26</v>
      </c>
      <c r="J711">
        <v>0</v>
      </c>
      <c r="K711">
        <v>1</v>
      </c>
      <c r="L711">
        <v>38</v>
      </c>
      <c r="M711">
        <v>5</v>
      </c>
      <c r="N711">
        <v>1</v>
      </c>
      <c r="O711" t="s">
        <v>36</v>
      </c>
      <c r="P711" t="str" cm="1">
        <f t="array" ref="P7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2" spans="1:16">
      <c r="A712">
        <v>1709</v>
      </c>
      <c r="B712" t="s">
        <v>22</v>
      </c>
      <c r="C712" t="s">
        <v>23</v>
      </c>
      <c r="D712">
        <v>173.97</v>
      </c>
      <c r="E712">
        <v>10</v>
      </c>
      <c r="F712" t="s">
        <v>17</v>
      </c>
      <c r="G712" t="s">
        <v>18</v>
      </c>
      <c r="H712" t="s">
        <v>35</v>
      </c>
      <c r="I712" t="s">
        <v>26</v>
      </c>
      <c r="J712">
        <v>0</v>
      </c>
      <c r="K712">
        <v>0</v>
      </c>
      <c r="L712">
        <v>73</v>
      </c>
      <c r="M712">
        <v>4</v>
      </c>
      <c r="N712">
        <v>0</v>
      </c>
      <c r="O712" t="s">
        <v>21</v>
      </c>
      <c r="P712" t="str" cm="1">
        <f t="array" ref="P7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3" spans="1:16">
      <c r="A713">
        <v>7829</v>
      </c>
      <c r="B713" t="s">
        <v>60</v>
      </c>
      <c r="C713" t="s">
        <v>23</v>
      </c>
      <c r="D713">
        <v>148.06</v>
      </c>
      <c r="E713">
        <v>2</v>
      </c>
      <c r="F713" t="s">
        <v>50</v>
      </c>
      <c r="G713" t="s">
        <v>18</v>
      </c>
      <c r="H713" t="s">
        <v>48</v>
      </c>
      <c r="I713" t="s">
        <v>20</v>
      </c>
      <c r="J713">
        <v>1</v>
      </c>
      <c r="K713">
        <v>0</v>
      </c>
      <c r="L713">
        <v>55</v>
      </c>
      <c r="M713">
        <v>5</v>
      </c>
      <c r="N713">
        <v>1</v>
      </c>
      <c r="O713" t="s">
        <v>36</v>
      </c>
      <c r="P713" t="str" cm="1">
        <f t="array" ref="P7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4" spans="1:16">
      <c r="A714">
        <v>8948</v>
      </c>
      <c r="B714" t="s">
        <v>37</v>
      </c>
      <c r="C714" t="s">
        <v>16</v>
      </c>
      <c r="D714">
        <v>480.76</v>
      </c>
      <c r="E714">
        <v>1</v>
      </c>
      <c r="F714" t="s">
        <v>19</v>
      </c>
      <c r="G714" t="s">
        <v>18</v>
      </c>
      <c r="H714" t="s">
        <v>48</v>
      </c>
      <c r="I714" t="s">
        <v>20</v>
      </c>
      <c r="J714">
        <v>0</v>
      </c>
      <c r="K714">
        <v>0</v>
      </c>
      <c r="L714">
        <v>42</v>
      </c>
      <c r="M714">
        <v>2</v>
      </c>
      <c r="N714">
        <v>0</v>
      </c>
      <c r="O714" t="s">
        <v>21</v>
      </c>
      <c r="P714" t="str" cm="1">
        <f t="array" ref="P7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5" spans="1:16">
      <c r="A715">
        <v>1116</v>
      </c>
      <c r="B715" t="s">
        <v>49</v>
      </c>
      <c r="C715" t="s">
        <v>16</v>
      </c>
      <c r="D715">
        <v>156.19</v>
      </c>
      <c r="E715">
        <v>10</v>
      </c>
      <c r="F715" t="s">
        <v>34</v>
      </c>
      <c r="G715" t="s">
        <v>38</v>
      </c>
      <c r="H715" t="s">
        <v>48</v>
      </c>
      <c r="I715" t="s">
        <v>25</v>
      </c>
      <c r="J715">
        <v>0</v>
      </c>
      <c r="K715">
        <v>0</v>
      </c>
      <c r="L715">
        <v>92</v>
      </c>
      <c r="M715">
        <v>1</v>
      </c>
      <c r="N715">
        <v>0</v>
      </c>
      <c r="O715" t="s">
        <v>21</v>
      </c>
      <c r="P715" t="str" cm="1">
        <f t="array" ref="P7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6" spans="1:16">
      <c r="A716">
        <v>5246</v>
      </c>
      <c r="B716" t="s">
        <v>57</v>
      </c>
      <c r="C716" t="s">
        <v>43</v>
      </c>
      <c r="D716">
        <v>157.04</v>
      </c>
      <c r="E716">
        <v>6</v>
      </c>
      <c r="F716" t="s">
        <v>17</v>
      </c>
      <c r="G716" t="s">
        <v>24</v>
      </c>
      <c r="H716" t="s">
        <v>30</v>
      </c>
      <c r="I716" t="s">
        <v>20</v>
      </c>
      <c r="J716">
        <v>0</v>
      </c>
      <c r="K716">
        <v>0</v>
      </c>
      <c r="L716">
        <v>39</v>
      </c>
      <c r="M716">
        <v>1</v>
      </c>
      <c r="N716">
        <v>0</v>
      </c>
      <c r="O716" t="s">
        <v>21</v>
      </c>
      <c r="P716" t="str" cm="1">
        <f t="array" ref="P7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7" spans="1:16">
      <c r="A717">
        <v>4838</v>
      </c>
      <c r="B717" t="s">
        <v>39</v>
      </c>
      <c r="C717" t="s">
        <v>28</v>
      </c>
      <c r="D717">
        <v>96.05</v>
      </c>
      <c r="E717">
        <v>21</v>
      </c>
      <c r="F717" t="s">
        <v>29</v>
      </c>
      <c r="G717" t="s">
        <v>24</v>
      </c>
      <c r="H717" t="s">
        <v>25</v>
      </c>
      <c r="I717" t="s">
        <v>26</v>
      </c>
      <c r="J717">
        <v>0</v>
      </c>
      <c r="K717">
        <v>1</v>
      </c>
      <c r="L717">
        <v>54</v>
      </c>
      <c r="M717">
        <v>0</v>
      </c>
      <c r="N717">
        <v>0</v>
      </c>
      <c r="O717" t="s">
        <v>21</v>
      </c>
      <c r="P717" t="str" cm="1">
        <f t="array" ref="P7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8" spans="1:16">
      <c r="A718">
        <v>4310</v>
      </c>
      <c r="B718" t="s">
        <v>49</v>
      </c>
      <c r="C718" t="s">
        <v>16</v>
      </c>
      <c r="D718">
        <v>275.39999999999998</v>
      </c>
      <c r="E718">
        <v>5</v>
      </c>
      <c r="F718" t="s">
        <v>50</v>
      </c>
      <c r="G718" t="s">
        <v>24</v>
      </c>
      <c r="H718" t="s">
        <v>35</v>
      </c>
      <c r="I718" t="s">
        <v>26</v>
      </c>
      <c r="J718">
        <v>0</v>
      </c>
      <c r="K718">
        <v>0</v>
      </c>
      <c r="L718">
        <v>26</v>
      </c>
      <c r="M718">
        <v>2</v>
      </c>
      <c r="N718">
        <v>0</v>
      </c>
      <c r="O718" t="s">
        <v>21</v>
      </c>
      <c r="P718" t="str" cm="1">
        <f t="array" ref="P7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19" spans="1:16">
      <c r="A719">
        <v>8476</v>
      </c>
      <c r="B719" t="s">
        <v>32</v>
      </c>
      <c r="C719" t="s">
        <v>33</v>
      </c>
      <c r="D719">
        <v>219.69</v>
      </c>
      <c r="E719">
        <v>3</v>
      </c>
      <c r="F719" t="s">
        <v>19</v>
      </c>
      <c r="G719" t="s">
        <v>44</v>
      </c>
      <c r="H719" t="s">
        <v>35</v>
      </c>
      <c r="I719" t="s">
        <v>31</v>
      </c>
      <c r="J719">
        <v>0</v>
      </c>
      <c r="K719">
        <v>0</v>
      </c>
      <c r="L719">
        <v>68</v>
      </c>
      <c r="M719">
        <v>0</v>
      </c>
      <c r="N719">
        <v>0</v>
      </c>
      <c r="O719" t="s">
        <v>21</v>
      </c>
      <c r="P719" t="str" cm="1">
        <f t="array" ref="P7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0" spans="1:16">
      <c r="A720">
        <v>255</v>
      </c>
      <c r="B720" t="s">
        <v>27</v>
      </c>
      <c r="C720" t="s">
        <v>28</v>
      </c>
      <c r="D720">
        <v>33.43</v>
      </c>
      <c r="E720">
        <v>16</v>
      </c>
      <c r="F720" t="s">
        <v>34</v>
      </c>
      <c r="G720" t="s">
        <v>53</v>
      </c>
      <c r="H720" t="s">
        <v>41</v>
      </c>
      <c r="I720" t="s">
        <v>20</v>
      </c>
      <c r="J720">
        <v>0</v>
      </c>
      <c r="K720">
        <v>0</v>
      </c>
      <c r="L720">
        <v>92</v>
      </c>
      <c r="M720">
        <v>0</v>
      </c>
      <c r="N720">
        <v>0</v>
      </c>
      <c r="O720" t="s">
        <v>21</v>
      </c>
      <c r="P720" t="str" cm="1">
        <f t="array" ref="P7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1" spans="1:16">
      <c r="A721">
        <v>1080</v>
      </c>
      <c r="B721" t="s">
        <v>49</v>
      </c>
      <c r="C721" t="s">
        <v>16</v>
      </c>
      <c r="D721">
        <v>539.09</v>
      </c>
      <c r="E721">
        <v>15</v>
      </c>
      <c r="F721" t="s">
        <v>17</v>
      </c>
      <c r="G721" t="s">
        <v>24</v>
      </c>
      <c r="H721" t="s">
        <v>19</v>
      </c>
      <c r="I721" t="s">
        <v>26</v>
      </c>
      <c r="J721">
        <v>0</v>
      </c>
      <c r="K721">
        <v>0</v>
      </c>
      <c r="L721">
        <v>29</v>
      </c>
      <c r="M721">
        <v>2</v>
      </c>
      <c r="N721">
        <v>0</v>
      </c>
      <c r="O721" t="s">
        <v>21</v>
      </c>
      <c r="P721" t="str" cm="1">
        <f t="array" ref="P721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722" spans="1:16">
      <c r="A722">
        <v>7721</v>
      </c>
      <c r="B722" t="s">
        <v>56</v>
      </c>
      <c r="C722" t="s">
        <v>52</v>
      </c>
      <c r="D722">
        <v>145.36000000000001</v>
      </c>
      <c r="E722">
        <v>5</v>
      </c>
      <c r="F722" t="s">
        <v>50</v>
      </c>
      <c r="G722" t="s">
        <v>24</v>
      </c>
      <c r="H722" t="s">
        <v>35</v>
      </c>
      <c r="I722" t="s">
        <v>26</v>
      </c>
      <c r="J722">
        <v>0</v>
      </c>
      <c r="K722">
        <v>0</v>
      </c>
      <c r="L722">
        <v>58</v>
      </c>
      <c r="M722">
        <v>0</v>
      </c>
      <c r="N722">
        <v>0</v>
      </c>
      <c r="O722" t="s">
        <v>21</v>
      </c>
      <c r="P722" t="str" cm="1">
        <f t="array" ref="P7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3" spans="1:16">
      <c r="A723">
        <v>3064</v>
      </c>
      <c r="B723" t="s">
        <v>47</v>
      </c>
      <c r="C723" t="s">
        <v>16</v>
      </c>
      <c r="D723">
        <v>175.9</v>
      </c>
      <c r="E723">
        <v>6</v>
      </c>
      <c r="F723" t="s">
        <v>17</v>
      </c>
      <c r="G723" t="s">
        <v>24</v>
      </c>
      <c r="H723" t="s">
        <v>41</v>
      </c>
      <c r="I723" t="s">
        <v>26</v>
      </c>
      <c r="J723">
        <v>0</v>
      </c>
      <c r="K723">
        <v>1</v>
      </c>
      <c r="L723">
        <v>30</v>
      </c>
      <c r="M723">
        <v>7</v>
      </c>
      <c r="N723">
        <v>1</v>
      </c>
      <c r="O723" t="s">
        <v>36</v>
      </c>
      <c r="P723" t="str" cm="1">
        <f t="array" ref="P7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4" spans="1:16">
      <c r="A724">
        <v>737</v>
      </c>
      <c r="B724" t="s">
        <v>61</v>
      </c>
      <c r="C724" t="s">
        <v>28</v>
      </c>
      <c r="D724">
        <v>89.7</v>
      </c>
      <c r="E724">
        <v>18</v>
      </c>
      <c r="F724" t="s">
        <v>29</v>
      </c>
      <c r="G724" t="s">
        <v>18</v>
      </c>
      <c r="H724" t="s">
        <v>35</v>
      </c>
      <c r="I724" t="s">
        <v>20</v>
      </c>
      <c r="J724">
        <v>0</v>
      </c>
      <c r="K724">
        <v>0</v>
      </c>
      <c r="L724">
        <v>85</v>
      </c>
      <c r="M724">
        <v>0</v>
      </c>
      <c r="N724">
        <v>0</v>
      </c>
      <c r="O724" t="s">
        <v>21</v>
      </c>
      <c r="P724" t="str" cm="1">
        <f t="array" ref="P7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5" spans="1:16">
      <c r="A725">
        <v>5852</v>
      </c>
      <c r="B725" t="s">
        <v>32</v>
      </c>
      <c r="C725" t="s">
        <v>33</v>
      </c>
      <c r="D725">
        <v>578.26</v>
      </c>
      <c r="E725">
        <v>7</v>
      </c>
      <c r="F725" t="s">
        <v>19</v>
      </c>
      <c r="G725" t="s">
        <v>24</v>
      </c>
      <c r="H725" t="s">
        <v>41</v>
      </c>
      <c r="I725" t="s">
        <v>26</v>
      </c>
      <c r="J725">
        <v>0</v>
      </c>
      <c r="K725">
        <v>0</v>
      </c>
      <c r="L725">
        <v>27</v>
      </c>
      <c r="M725">
        <v>0</v>
      </c>
      <c r="N725">
        <v>0</v>
      </c>
      <c r="O725" t="s">
        <v>21</v>
      </c>
      <c r="P725" t="str" cm="1">
        <f t="array" ref="P725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726" spans="1:16">
      <c r="A726">
        <v>1739</v>
      </c>
      <c r="B726" t="s">
        <v>45</v>
      </c>
      <c r="C726" t="s">
        <v>28</v>
      </c>
      <c r="D726">
        <v>82.53</v>
      </c>
      <c r="E726">
        <v>1</v>
      </c>
      <c r="F726" t="s">
        <v>34</v>
      </c>
      <c r="G726" t="s">
        <v>44</v>
      </c>
      <c r="H726" t="s">
        <v>41</v>
      </c>
      <c r="I726" t="s">
        <v>26</v>
      </c>
      <c r="J726">
        <v>0</v>
      </c>
      <c r="K726">
        <v>0</v>
      </c>
      <c r="L726">
        <v>44</v>
      </c>
      <c r="M726">
        <v>3</v>
      </c>
      <c r="N726">
        <v>0</v>
      </c>
      <c r="O726" t="s">
        <v>21</v>
      </c>
      <c r="P726" t="str" cm="1">
        <f t="array" ref="P7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7" spans="1:16">
      <c r="A727">
        <v>6870</v>
      </c>
      <c r="B727" t="s">
        <v>45</v>
      </c>
      <c r="C727" t="s">
        <v>28</v>
      </c>
      <c r="D727">
        <v>570.53</v>
      </c>
      <c r="E727">
        <v>8</v>
      </c>
      <c r="F727" t="s">
        <v>19</v>
      </c>
      <c r="G727" t="s">
        <v>44</v>
      </c>
      <c r="H727" t="s">
        <v>48</v>
      </c>
      <c r="I727" t="s">
        <v>31</v>
      </c>
      <c r="J727">
        <v>1</v>
      </c>
      <c r="K727">
        <v>0</v>
      </c>
      <c r="L727">
        <v>50</v>
      </c>
      <c r="M727">
        <v>3</v>
      </c>
      <c r="N727">
        <v>0</v>
      </c>
      <c r="O727" t="s">
        <v>21</v>
      </c>
      <c r="P727" t="str" cm="1">
        <f t="array" ref="P72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728" spans="1:16">
      <c r="A728">
        <v>9360</v>
      </c>
      <c r="B728" t="s">
        <v>45</v>
      </c>
      <c r="C728" t="s">
        <v>28</v>
      </c>
      <c r="D728">
        <v>208.95</v>
      </c>
      <c r="E728">
        <v>11</v>
      </c>
      <c r="F728" t="s">
        <v>19</v>
      </c>
      <c r="G728" t="s">
        <v>18</v>
      </c>
      <c r="H728" t="s">
        <v>48</v>
      </c>
      <c r="I728" t="s">
        <v>20</v>
      </c>
      <c r="J728">
        <v>0</v>
      </c>
      <c r="K728">
        <v>0</v>
      </c>
      <c r="L728">
        <v>79</v>
      </c>
      <c r="M728">
        <v>2</v>
      </c>
      <c r="N728">
        <v>0</v>
      </c>
      <c r="O728" t="s">
        <v>21</v>
      </c>
      <c r="P728" t="str" cm="1">
        <f t="array" ref="P7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29" spans="1:16">
      <c r="A729">
        <v>5814</v>
      </c>
      <c r="B729" t="s">
        <v>32</v>
      </c>
      <c r="C729" t="s">
        <v>33</v>
      </c>
      <c r="D729">
        <v>59.5</v>
      </c>
      <c r="E729">
        <v>10</v>
      </c>
      <c r="F729" t="s">
        <v>19</v>
      </c>
      <c r="G729" t="s">
        <v>18</v>
      </c>
      <c r="H729" t="s">
        <v>30</v>
      </c>
      <c r="I729" t="s">
        <v>20</v>
      </c>
      <c r="J729">
        <v>0</v>
      </c>
      <c r="K729">
        <v>0</v>
      </c>
      <c r="L729">
        <v>54</v>
      </c>
      <c r="M729">
        <v>2</v>
      </c>
      <c r="N729">
        <v>0</v>
      </c>
      <c r="O729" t="s">
        <v>21</v>
      </c>
      <c r="P729" t="str" cm="1">
        <f t="array" ref="P7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0" spans="1:16">
      <c r="A730">
        <v>723</v>
      </c>
      <c r="B730" t="s">
        <v>32</v>
      </c>
      <c r="C730" t="s">
        <v>33</v>
      </c>
      <c r="D730">
        <v>12.39</v>
      </c>
      <c r="E730">
        <v>0</v>
      </c>
      <c r="F730" t="s">
        <v>19</v>
      </c>
      <c r="G730" t="s">
        <v>24</v>
      </c>
      <c r="H730" t="s">
        <v>48</v>
      </c>
      <c r="I730" t="s">
        <v>20</v>
      </c>
      <c r="J730">
        <v>0</v>
      </c>
      <c r="K730">
        <v>0</v>
      </c>
      <c r="L730">
        <v>56</v>
      </c>
      <c r="M730">
        <v>3</v>
      </c>
      <c r="N730">
        <v>0</v>
      </c>
      <c r="O730" t="s">
        <v>21</v>
      </c>
      <c r="P730" t="str" cm="1">
        <f t="array" ref="P7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1" spans="1:16">
      <c r="A731">
        <v>8565</v>
      </c>
      <c r="B731" t="s">
        <v>59</v>
      </c>
      <c r="C731" t="s">
        <v>16</v>
      </c>
      <c r="D731">
        <v>119.54</v>
      </c>
      <c r="E731">
        <v>17</v>
      </c>
      <c r="F731" t="s">
        <v>19</v>
      </c>
      <c r="G731" t="s">
        <v>24</v>
      </c>
      <c r="H731" t="s">
        <v>35</v>
      </c>
      <c r="I731" t="s">
        <v>31</v>
      </c>
      <c r="J731">
        <v>0</v>
      </c>
      <c r="K731">
        <v>0</v>
      </c>
      <c r="L731">
        <v>92</v>
      </c>
      <c r="M731">
        <v>1</v>
      </c>
      <c r="N731">
        <v>0</v>
      </c>
      <c r="O731" t="s">
        <v>21</v>
      </c>
      <c r="P731" t="str" cm="1">
        <f t="array" ref="P7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2" spans="1:16">
      <c r="A732">
        <v>3652</v>
      </c>
      <c r="B732" t="s">
        <v>32</v>
      </c>
      <c r="C732" t="s">
        <v>33</v>
      </c>
      <c r="D732">
        <v>91.31</v>
      </c>
      <c r="E732">
        <v>0</v>
      </c>
      <c r="F732" t="s">
        <v>34</v>
      </c>
      <c r="G732" t="s">
        <v>24</v>
      </c>
      <c r="H732" t="s">
        <v>48</v>
      </c>
      <c r="I732" t="s">
        <v>20</v>
      </c>
      <c r="J732">
        <v>0</v>
      </c>
      <c r="K732">
        <v>1</v>
      </c>
      <c r="L732">
        <v>33</v>
      </c>
      <c r="M732">
        <v>3</v>
      </c>
      <c r="N732">
        <v>1</v>
      </c>
      <c r="O732" t="s">
        <v>36</v>
      </c>
      <c r="P732" t="str" cm="1">
        <f t="array" ref="P7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3" spans="1:16">
      <c r="A733">
        <v>5930</v>
      </c>
      <c r="B733" t="s">
        <v>39</v>
      </c>
      <c r="C733" t="s">
        <v>28</v>
      </c>
      <c r="D733">
        <v>401.4</v>
      </c>
      <c r="E733">
        <v>1</v>
      </c>
      <c r="F733" t="s">
        <v>17</v>
      </c>
      <c r="G733" t="s">
        <v>53</v>
      </c>
      <c r="H733" t="s">
        <v>48</v>
      </c>
      <c r="I733" t="s">
        <v>25</v>
      </c>
      <c r="J733">
        <v>1</v>
      </c>
      <c r="K733">
        <v>0</v>
      </c>
      <c r="L733">
        <v>31</v>
      </c>
      <c r="M733">
        <v>0</v>
      </c>
      <c r="N733">
        <v>1</v>
      </c>
      <c r="O733" t="s">
        <v>36</v>
      </c>
      <c r="P733" t="str" cm="1">
        <f t="array" ref="P7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4" spans="1:16">
      <c r="A734">
        <v>5491</v>
      </c>
      <c r="B734" t="s">
        <v>49</v>
      </c>
      <c r="C734" t="s">
        <v>16</v>
      </c>
      <c r="D734">
        <v>30.61</v>
      </c>
      <c r="E734">
        <v>3</v>
      </c>
      <c r="F734" t="s">
        <v>29</v>
      </c>
      <c r="G734" t="s">
        <v>38</v>
      </c>
      <c r="H734" t="s">
        <v>25</v>
      </c>
      <c r="I734" t="s">
        <v>20</v>
      </c>
      <c r="J734">
        <v>0</v>
      </c>
      <c r="K734">
        <v>0</v>
      </c>
      <c r="L734">
        <v>47</v>
      </c>
      <c r="M734">
        <v>2</v>
      </c>
      <c r="N734">
        <v>0</v>
      </c>
      <c r="O734" t="s">
        <v>21</v>
      </c>
      <c r="P734" t="str" cm="1">
        <f t="array" ref="P7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5" spans="1:16">
      <c r="A735">
        <v>2405</v>
      </c>
      <c r="B735" t="s">
        <v>59</v>
      </c>
      <c r="C735" t="s">
        <v>16</v>
      </c>
      <c r="D735">
        <v>203.49</v>
      </c>
      <c r="E735">
        <v>21</v>
      </c>
      <c r="F735" t="s">
        <v>34</v>
      </c>
      <c r="G735" t="s">
        <v>24</v>
      </c>
      <c r="H735" t="s">
        <v>35</v>
      </c>
      <c r="I735" t="s">
        <v>31</v>
      </c>
      <c r="J735">
        <v>0</v>
      </c>
      <c r="K735">
        <v>0</v>
      </c>
      <c r="L735">
        <v>28</v>
      </c>
      <c r="M735">
        <v>4</v>
      </c>
      <c r="N735">
        <v>0</v>
      </c>
      <c r="O735" t="s">
        <v>21</v>
      </c>
      <c r="P735" t="str" cm="1">
        <f t="array" ref="P7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6" spans="1:16">
      <c r="A736">
        <v>7279</v>
      </c>
      <c r="B736" t="s">
        <v>47</v>
      </c>
      <c r="C736" t="s">
        <v>16</v>
      </c>
      <c r="D736">
        <v>255.67</v>
      </c>
      <c r="E736">
        <v>19</v>
      </c>
      <c r="F736" t="s">
        <v>50</v>
      </c>
      <c r="G736" t="s">
        <v>38</v>
      </c>
      <c r="H736" t="s">
        <v>19</v>
      </c>
      <c r="I736" t="s">
        <v>20</v>
      </c>
      <c r="J736">
        <v>0</v>
      </c>
      <c r="K736">
        <v>1</v>
      </c>
      <c r="L736">
        <v>25</v>
      </c>
      <c r="M736">
        <v>5</v>
      </c>
      <c r="N736">
        <v>1</v>
      </c>
      <c r="O736" t="s">
        <v>36</v>
      </c>
      <c r="P736" t="str" cm="1">
        <f t="array" ref="P7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7" spans="1:16">
      <c r="A737">
        <v>694</v>
      </c>
      <c r="B737" t="s">
        <v>60</v>
      </c>
      <c r="C737" t="s">
        <v>23</v>
      </c>
      <c r="D737">
        <v>49.97</v>
      </c>
      <c r="E737">
        <v>11</v>
      </c>
      <c r="F737" t="s">
        <v>19</v>
      </c>
      <c r="G737" t="s">
        <v>18</v>
      </c>
      <c r="H737" t="s">
        <v>19</v>
      </c>
      <c r="I737" t="s">
        <v>20</v>
      </c>
      <c r="J737">
        <v>0</v>
      </c>
      <c r="K737">
        <v>0</v>
      </c>
      <c r="L737">
        <v>45</v>
      </c>
      <c r="M737">
        <v>1</v>
      </c>
      <c r="N737">
        <v>0</v>
      </c>
      <c r="O737" t="s">
        <v>21</v>
      </c>
      <c r="P737" t="str" cm="1">
        <f t="array" ref="P7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8" spans="1:16">
      <c r="A738">
        <v>7761</v>
      </c>
      <c r="B738" t="s">
        <v>73</v>
      </c>
      <c r="C738" t="s">
        <v>43</v>
      </c>
      <c r="D738">
        <v>171.27</v>
      </c>
      <c r="E738">
        <v>5</v>
      </c>
      <c r="F738" t="s">
        <v>29</v>
      </c>
      <c r="G738" t="s">
        <v>24</v>
      </c>
      <c r="H738" t="s">
        <v>48</v>
      </c>
      <c r="I738" t="s">
        <v>25</v>
      </c>
      <c r="J738">
        <v>0</v>
      </c>
      <c r="K738">
        <v>0</v>
      </c>
      <c r="L738">
        <v>70</v>
      </c>
      <c r="M738">
        <v>0</v>
      </c>
      <c r="N738">
        <v>0</v>
      </c>
      <c r="O738" t="s">
        <v>21</v>
      </c>
      <c r="P738" t="str" cm="1">
        <f t="array" ref="P7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39" spans="1:16">
      <c r="A739">
        <v>5609</v>
      </c>
      <c r="B739" t="s">
        <v>63</v>
      </c>
      <c r="C739" t="s">
        <v>28</v>
      </c>
      <c r="D739">
        <v>107.3</v>
      </c>
      <c r="E739">
        <v>8</v>
      </c>
      <c r="F739" t="s">
        <v>29</v>
      </c>
      <c r="G739" t="s">
        <v>53</v>
      </c>
      <c r="H739" t="s">
        <v>25</v>
      </c>
      <c r="I739" t="s">
        <v>31</v>
      </c>
      <c r="J739">
        <v>0</v>
      </c>
      <c r="K739">
        <v>0</v>
      </c>
      <c r="L739">
        <v>32</v>
      </c>
      <c r="M739">
        <v>2</v>
      </c>
      <c r="N739">
        <v>0</v>
      </c>
      <c r="O739" t="s">
        <v>21</v>
      </c>
      <c r="P739" t="str" cm="1">
        <f t="array" ref="P7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0" spans="1:16">
      <c r="A740">
        <v>72</v>
      </c>
      <c r="B740" t="s">
        <v>32</v>
      </c>
      <c r="C740" t="s">
        <v>33</v>
      </c>
      <c r="D740">
        <v>39.880000000000003</v>
      </c>
      <c r="E740">
        <v>19</v>
      </c>
      <c r="F740" t="s">
        <v>29</v>
      </c>
      <c r="G740" t="s">
        <v>38</v>
      </c>
      <c r="H740" t="s">
        <v>41</v>
      </c>
      <c r="I740" t="s">
        <v>31</v>
      </c>
      <c r="J740">
        <v>0</v>
      </c>
      <c r="K740">
        <v>0</v>
      </c>
      <c r="L740">
        <v>29</v>
      </c>
      <c r="M740">
        <v>1</v>
      </c>
      <c r="N740">
        <v>0</v>
      </c>
      <c r="O740" t="s">
        <v>21</v>
      </c>
      <c r="P740" t="str" cm="1">
        <f t="array" ref="P7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1" spans="1:16">
      <c r="A741">
        <v>5076</v>
      </c>
      <c r="B741" t="s">
        <v>49</v>
      </c>
      <c r="C741" t="s">
        <v>16</v>
      </c>
      <c r="D741">
        <v>131.37</v>
      </c>
      <c r="E741">
        <v>17</v>
      </c>
      <c r="F741" t="s">
        <v>17</v>
      </c>
      <c r="G741" t="s">
        <v>38</v>
      </c>
      <c r="H741" t="s">
        <v>48</v>
      </c>
      <c r="I741" t="s">
        <v>31</v>
      </c>
      <c r="J741">
        <v>0</v>
      </c>
      <c r="K741">
        <v>0</v>
      </c>
      <c r="L741">
        <v>47</v>
      </c>
      <c r="M741">
        <v>0</v>
      </c>
      <c r="N741">
        <v>0</v>
      </c>
      <c r="O741" t="s">
        <v>21</v>
      </c>
      <c r="P741" t="str" cm="1">
        <f t="array" ref="P7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2" spans="1:16">
      <c r="A742">
        <v>2641</v>
      </c>
      <c r="B742" t="s">
        <v>76</v>
      </c>
      <c r="C742" t="s">
        <v>43</v>
      </c>
      <c r="D742">
        <v>63.7</v>
      </c>
      <c r="E742">
        <v>15</v>
      </c>
      <c r="F742" t="s">
        <v>19</v>
      </c>
      <c r="G742" t="s">
        <v>24</v>
      </c>
      <c r="H742" t="s">
        <v>41</v>
      </c>
      <c r="I742" t="s">
        <v>31</v>
      </c>
      <c r="J742">
        <v>0</v>
      </c>
      <c r="K742">
        <v>0</v>
      </c>
      <c r="L742">
        <v>90</v>
      </c>
      <c r="M742">
        <v>2</v>
      </c>
      <c r="N742">
        <v>0</v>
      </c>
      <c r="O742" t="s">
        <v>21</v>
      </c>
      <c r="P742" t="str" cm="1">
        <f t="array" ref="P7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3" spans="1:16">
      <c r="A743">
        <v>6796</v>
      </c>
      <c r="B743" t="s">
        <v>15</v>
      </c>
      <c r="C743" t="s">
        <v>16</v>
      </c>
      <c r="D743">
        <v>60.53</v>
      </c>
      <c r="E743">
        <v>1</v>
      </c>
      <c r="F743" t="s">
        <v>19</v>
      </c>
      <c r="G743" t="s">
        <v>24</v>
      </c>
      <c r="H743" t="s">
        <v>19</v>
      </c>
      <c r="I743" t="s">
        <v>20</v>
      </c>
      <c r="J743">
        <v>0</v>
      </c>
      <c r="K743">
        <v>0</v>
      </c>
      <c r="L743">
        <v>60</v>
      </c>
      <c r="M743">
        <v>0</v>
      </c>
      <c r="N743">
        <v>0</v>
      </c>
      <c r="O743" t="s">
        <v>21</v>
      </c>
      <c r="P743" t="str" cm="1">
        <f t="array" ref="P7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4" spans="1:16">
      <c r="A744">
        <v>1834</v>
      </c>
      <c r="B744" t="s">
        <v>47</v>
      </c>
      <c r="C744" t="s">
        <v>16</v>
      </c>
      <c r="D744">
        <v>248.15</v>
      </c>
      <c r="E744">
        <v>13</v>
      </c>
      <c r="F744" t="s">
        <v>34</v>
      </c>
      <c r="G744" t="s">
        <v>24</v>
      </c>
      <c r="H744" t="s">
        <v>19</v>
      </c>
      <c r="I744" t="s">
        <v>26</v>
      </c>
      <c r="J744">
        <v>0</v>
      </c>
      <c r="K744">
        <v>0</v>
      </c>
      <c r="L744">
        <v>61</v>
      </c>
      <c r="M744">
        <v>3</v>
      </c>
      <c r="N744">
        <v>0</v>
      </c>
      <c r="O744" t="s">
        <v>21</v>
      </c>
      <c r="P744" t="str" cm="1">
        <f t="array" ref="P7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5" spans="1:16">
      <c r="A745">
        <v>2795</v>
      </c>
      <c r="B745" t="s">
        <v>71</v>
      </c>
      <c r="C745" t="s">
        <v>33</v>
      </c>
      <c r="D745">
        <v>103.4</v>
      </c>
      <c r="E745">
        <v>13</v>
      </c>
      <c r="F745" t="s">
        <v>50</v>
      </c>
      <c r="G745" t="s">
        <v>18</v>
      </c>
      <c r="H745" t="s">
        <v>30</v>
      </c>
      <c r="I745" t="s">
        <v>20</v>
      </c>
      <c r="J745">
        <v>0</v>
      </c>
      <c r="K745">
        <v>0</v>
      </c>
      <c r="L745">
        <v>98</v>
      </c>
      <c r="M745">
        <v>1</v>
      </c>
      <c r="N745">
        <v>0</v>
      </c>
      <c r="O745" t="s">
        <v>21</v>
      </c>
      <c r="P745" t="str" cm="1">
        <f t="array" ref="P74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6" spans="1:16">
      <c r="A746">
        <v>2284</v>
      </c>
      <c r="B746" t="s">
        <v>32</v>
      </c>
      <c r="C746" t="s">
        <v>33</v>
      </c>
      <c r="D746">
        <v>8.41</v>
      </c>
      <c r="E746">
        <v>1</v>
      </c>
      <c r="F746" t="s">
        <v>29</v>
      </c>
      <c r="G746" t="s">
        <v>24</v>
      </c>
      <c r="H746" t="s">
        <v>35</v>
      </c>
      <c r="I746" t="s">
        <v>31</v>
      </c>
      <c r="J746">
        <v>0</v>
      </c>
      <c r="K746">
        <v>0</v>
      </c>
      <c r="L746">
        <v>27</v>
      </c>
      <c r="M746">
        <v>5</v>
      </c>
      <c r="N746">
        <v>1</v>
      </c>
      <c r="O746" t="s">
        <v>36</v>
      </c>
      <c r="P746" t="str" cm="1">
        <f t="array" ref="P7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7" spans="1:16">
      <c r="A747">
        <v>7317</v>
      </c>
      <c r="B747" t="s">
        <v>63</v>
      </c>
      <c r="C747" t="s">
        <v>28</v>
      </c>
      <c r="D747">
        <v>7.22</v>
      </c>
      <c r="E747">
        <v>19</v>
      </c>
      <c r="F747" t="s">
        <v>29</v>
      </c>
      <c r="G747" t="s">
        <v>24</v>
      </c>
      <c r="H747" t="s">
        <v>41</v>
      </c>
      <c r="I747" t="s">
        <v>20</v>
      </c>
      <c r="J747">
        <v>1</v>
      </c>
      <c r="K747">
        <v>0</v>
      </c>
      <c r="L747">
        <v>95</v>
      </c>
      <c r="M747">
        <v>3</v>
      </c>
      <c r="N747">
        <v>0</v>
      </c>
      <c r="O747" t="s">
        <v>21</v>
      </c>
      <c r="P747" t="str" cm="1">
        <f t="array" ref="P7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8" spans="1:16">
      <c r="A748">
        <v>8529</v>
      </c>
      <c r="B748" t="s">
        <v>45</v>
      </c>
      <c r="C748" t="s">
        <v>28</v>
      </c>
      <c r="D748">
        <v>205.12</v>
      </c>
      <c r="E748">
        <v>2</v>
      </c>
      <c r="F748" t="s">
        <v>19</v>
      </c>
      <c r="G748" t="s">
        <v>44</v>
      </c>
      <c r="H748" t="s">
        <v>35</v>
      </c>
      <c r="I748" t="s">
        <v>31</v>
      </c>
      <c r="J748">
        <v>0</v>
      </c>
      <c r="K748">
        <v>0</v>
      </c>
      <c r="L748">
        <v>26</v>
      </c>
      <c r="M748">
        <v>5</v>
      </c>
      <c r="N748">
        <v>1</v>
      </c>
      <c r="O748" t="s">
        <v>36</v>
      </c>
      <c r="P748" t="str" cm="1">
        <f t="array" ref="P7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49" spans="1:16">
      <c r="A749">
        <v>1766</v>
      </c>
      <c r="B749" t="s">
        <v>63</v>
      </c>
      <c r="C749" t="s">
        <v>28</v>
      </c>
      <c r="D749">
        <v>70.66</v>
      </c>
      <c r="E749">
        <v>14</v>
      </c>
      <c r="F749" t="s">
        <v>50</v>
      </c>
      <c r="G749" t="s">
        <v>18</v>
      </c>
      <c r="H749" t="s">
        <v>48</v>
      </c>
      <c r="I749" t="s">
        <v>31</v>
      </c>
      <c r="J749">
        <v>0</v>
      </c>
      <c r="K749">
        <v>0</v>
      </c>
      <c r="L749">
        <v>48</v>
      </c>
      <c r="M749">
        <v>0</v>
      </c>
      <c r="N749">
        <v>0</v>
      </c>
      <c r="O749" t="s">
        <v>21</v>
      </c>
      <c r="P749" t="str" cm="1">
        <f t="array" ref="P7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0" spans="1:16">
      <c r="A750">
        <v>5581</v>
      </c>
      <c r="B750" t="s">
        <v>15</v>
      </c>
      <c r="C750" t="s">
        <v>16</v>
      </c>
      <c r="D750">
        <v>7.34</v>
      </c>
      <c r="E750">
        <v>1</v>
      </c>
      <c r="F750" t="s">
        <v>50</v>
      </c>
      <c r="G750" t="s">
        <v>18</v>
      </c>
      <c r="H750" t="s">
        <v>48</v>
      </c>
      <c r="I750" t="s">
        <v>31</v>
      </c>
      <c r="J750">
        <v>0</v>
      </c>
      <c r="K750">
        <v>1</v>
      </c>
      <c r="L750">
        <v>32</v>
      </c>
      <c r="M750">
        <v>1</v>
      </c>
      <c r="N750">
        <v>1</v>
      </c>
      <c r="O750" t="s">
        <v>36</v>
      </c>
      <c r="P750" t="str" cm="1">
        <f t="array" ref="P7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1" spans="1:16">
      <c r="A751">
        <v>956</v>
      </c>
      <c r="B751" t="s">
        <v>59</v>
      </c>
      <c r="C751" t="s">
        <v>16</v>
      </c>
      <c r="D751">
        <v>86.96</v>
      </c>
      <c r="E751">
        <v>6</v>
      </c>
      <c r="F751" t="s">
        <v>34</v>
      </c>
      <c r="G751" t="s">
        <v>18</v>
      </c>
      <c r="H751" t="s">
        <v>48</v>
      </c>
      <c r="I751" t="s">
        <v>31</v>
      </c>
      <c r="J751">
        <v>0</v>
      </c>
      <c r="K751">
        <v>0</v>
      </c>
      <c r="L751">
        <v>78</v>
      </c>
      <c r="M751">
        <v>0</v>
      </c>
      <c r="N751">
        <v>0</v>
      </c>
      <c r="O751" t="s">
        <v>21</v>
      </c>
      <c r="P751" t="str" cm="1">
        <f t="array" ref="P7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2" spans="1:16">
      <c r="A752">
        <v>11</v>
      </c>
      <c r="B752" t="s">
        <v>59</v>
      </c>
      <c r="C752" t="s">
        <v>16</v>
      </c>
      <c r="D752">
        <v>3.74</v>
      </c>
      <c r="E752">
        <v>16</v>
      </c>
      <c r="F752" t="s">
        <v>34</v>
      </c>
      <c r="G752" t="s">
        <v>24</v>
      </c>
      <c r="H752" t="s">
        <v>30</v>
      </c>
      <c r="I752" t="s">
        <v>20</v>
      </c>
      <c r="J752">
        <v>0</v>
      </c>
      <c r="K752">
        <v>0</v>
      </c>
      <c r="L752">
        <v>58</v>
      </c>
      <c r="M752">
        <v>2</v>
      </c>
      <c r="N752">
        <v>0</v>
      </c>
      <c r="O752" t="s">
        <v>21</v>
      </c>
      <c r="P752" t="str" cm="1">
        <f t="array" ref="P7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3" spans="1:16">
      <c r="A753">
        <v>5419</v>
      </c>
      <c r="B753" t="s">
        <v>45</v>
      </c>
      <c r="C753" t="s">
        <v>28</v>
      </c>
      <c r="D753">
        <v>121.56</v>
      </c>
      <c r="E753">
        <v>15</v>
      </c>
      <c r="F753" t="s">
        <v>17</v>
      </c>
      <c r="G753" t="s">
        <v>24</v>
      </c>
      <c r="H753" t="s">
        <v>48</v>
      </c>
      <c r="I753" t="s">
        <v>31</v>
      </c>
      <c r="J753">
        <v>0</v>
      </c>
      <c r="K753">
        <v>0</v>
      </c>
      <c r="L753">
        <v>36</v>
      </c>
      <c r="M753">
        <v>0</v>
      </c>
      <c r="N753">
        <v>0</v>
      </c>
      <c r="O753" t="s">
        <v>21</v>
      </c>
      <c r="P753" t="str" cm="1">
        <f t="array" ref="P7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4" spans="1:16">
      <c r="A754">
        <v>8017</v>
      </c>
      <c r="B754" t="s">
        <v>22</v>
      </c>
      <c r="C754" t="s">
        <v>23</v>
      </c>
      <c r="D754">
        <v>115.37</v>
      </c>
      <c r="E754">
        <v>3</v>
      </c>
      <c r="F754" t="s">
        <v>29</v>
      </c>
      <c r="G754" t="s">
        <v>24</v>
      </c>
      <c r="H754" t="s">
        <v>19</v>
      </c>
      <c r="I754" t="s">
        <v>20</v>
      </c>
      <c r="J754">
        <v>0</v>
      </c>
      <c r="K754">
        <v>0</v>
      </c>
      <c r="L754">
        <v>36</v>
      </c>
      <c r="M754">
        <v>2</v>
      </c>
      <c r="N754">
        <v>0</v>
      </c>
      <c r="O754" t="s">
        <v>21</v>
      </c>
      <c r="P754" t="str" cm="1">
        <f t="array" ref="P7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5" spans="1:16">
      <c r="A755">
        <v>3587</v>
      </c>
      <c r="B755" t="s">
        <v>60</v>
      </c>
      <c r="C755" t="s">
        <v>23</v>
      </c>
      <c r="D755">
        <v>108.92</v>
      </c>
      <c r="E755">
        <v>0</v>
      </c>
      <c r="F755" t="s">
        <v>29</v>
      </c>
      <c r="G755" t="s">
        <v>44</v>
      </c>
      <c r="H755" t="s">
        <v>25</v>
      </c>
      <c r="I755" t="s">
        <v>20</v>
      </c>
      <c r="J755">
        <v>0</v>
      </c>
      <c r="K755">
        <v>0</v>
      </c>
      <c r="L755">
        <v>31</v>
      </c>
      <c r="M755">
        <v>7</v>
      </c>
      <c r="N755">
        <v>1</v>
      </c>
      <c r="O755" t="s">
        <v>36</v>
      </c>
      <c r="P755" t="str" cm="1">
        <f t="array" ref="P7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6" spans="1:16">
      <c r="A756">
        <v>9780</v>
      </c>
      <c r="B756" t="s">
        <v>15</v>
      </c>
      <c r="C756" t="s">
        <v>16</v>
      </c>
      <c r="D756">
        <v>172</v>
      </c>
      <c r="E756">
        <v>2</v>
      </c>
      <c r="F756" t="s">
        <v>34</v>
      </c>
      <c r="G756" t="s">
        <v>18</v>
      </c>
      <c r="H756" t="s">
        <v>30</v>
      </c>
      <c r="I756" t="s">
        <v>31</v>
      </c>
      <c r="J756">
        <v>0</v>
      </c>
      <c r="K756">
        <v>1</v>
      </c>
      <c r="L756">
        <v>56</v>
      </c>
      <c r="M756">
        <v>5</v>
      </c>
      <c r="N756">
        <v>1</v>
      </c>
      <c r="O756" t="s">
        <v>36</v>
      </c>
      <c r="P756" t="str" cm="1">
        <f t="array" ref="P7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7" spans="1:16">
      <c r="A757">
        <v>6833</v>
      </c>
      <c r="B757" t="s">
        <v>47</v>
      </c>
      <c r="C757" t="s">
        <v>16</v>
      </c>
      <c r="D757">
        <v>128.96</v>
      </c>
      <c r="E757">
        <v>10</v>
      </c>
      <c r="F757" t="s">
        <v>50</v>
      </c>
      <c r="G757" t="s">
        <v>18</v>
      </c>
      <c r="H757" t="s">
        <v>30</v>
      </c>
      <c r="I757" t="s">
        <v>26</v>
      </c>
      <c r="J757">
        <v>0</v>
      </c>
      <c r="K757">
        <v>0</v>
      </c>
      <c r="L757">
        <v>77</v>
      </c>
      <c r="M757">
        <v>0</v>
      </c>
      <c r="N757">
        <v>0</v>
      </c>
      <c r="O757" t="s">
        <v>21</v>
      </c>
      <c r="P757" t="str" cm="1">
        <f t="array" ref="P7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8" spans="1:16">
      <c r="A758">
        <v>122</v>
      </c>
      <c r="B758" t="s">
        <v>15</v>
      </c>
      <c r="C758" t="s">
        <v>16</v>
      </c>
      <c r="D758">
        <v>407.56</v>
      </c>
      <c r="E758">
        <v>1</v>
      </c>
      <c r="F758" t="s">
        <v>34</v>
      </c>
      <c r="G758" t="s">
        <v>44</v>
      </c>
      <c r="H758" t="s">
        <v>19</v>
      </c>
      <c r="I758" t="s">
        <v>20</v>
      </c>
      <c r="J758">
        <v>1</v>
      </c>
      <c r="K758">
        <v>0</v>
      </c>
      <c r="L758">
        <v>36</v>
      </c>
      <c r="M758">
        <v>2</v>
      </c>
      <c r="N758">
        <v>1</v>
      </c>
      <c r="O758" t="s">
        <v>36</v>
      </c>
      <c r="P758" t="str" cm="1">
        <f t="array" ref="P7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59" spans="1:16">
      <c r="A759">
        <v>693</v>
      </c>
      <c r="B759" t="s">
        <v>63</v>
      </c>
      <c r="C759" t="s">
        <v>28</v>
      </c>
      <c r="D759">
        <v>127.53</v>
      </c>
      <c r="E759">
        <v>17</v>
      </c>
      <c r="F759" t="s">
        <v>50</v>
      </c>
      <c r="G759" t="s">
        <v>44</v>
      </c>
      <c r="H759" t="s">
        <v>35</v>
      </c>
      <c r="I759" t="s">
        <v>26</v>
      </c>
      <c r="J759">
        <v>0</v>
      </c>
      <c r="K759">
        <v>0</v>
      </c>
      <c r="L759">
        <v>37</v>
      </c>
      <c r="M759">
        <v>4</v>
      </c>
      <c r="N759">
        <v>0</v>
      </c>
      <c r="O759" t="s">
        <v>21</v>
      </c>
      <c r="P759" t="str" cm="1">
        <f t="array" ref="P7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0" spans="1:16">
      <c r="A760">
        <v>5811</v>
      </c>
      <c r="B760" t="s">
        <v>59</v>
      </c>
      <c r="C760" t="s">
        <v>16</v>
      </c>
      <c r="D760">
        <v>32.79</v>
      </c>
      <c r="E760">
        <v>6</v>
      </c>
      <c r="F760" t="s">
        <v>17</v>
      </c>
      <c r="G760" t="s">
        <v>53</v>
      </c>
      <c r="H760" t="s">
        <v>35</v>
      </c>
      <c r="I760" t="s">
        <v>31</v>
      </c>
      <c r="J760">
        <v>0</v>
      </c>
      <c r="K760">
        <v>0</v>
      </c>
      <c r="L760">
        <v>35</v>
      </c>
      <c r="M760">
        <v>1</v>
      </c>
      <c r="N760">
        <v>0</v>
      </c>
      <c r="O760" t="s">
        <v>21</v>
      </c>
      <c r="P760" t="str" cm="1">
        <f t="array" ref="P7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1" spans="1:16">
      <c r="A761">
        <v>6890</v>
      </c>
      <c r="B761" t="s">
        <v>59</v>
      </c>
      <c r="C761" t="s">
        <v>16</v>
      </c>
      <c r="D761">
        <v>128.4</v>
      </c>
      <c r="E761">
        <v>1</v>
      </c>
      <c r="F761" t="s">
        <v>19</v>
      </c>
      <c r="G761" t="s">
        <v>44</v>
      </c>
      <c r="H761" t="s">
        <v>30</v>
      </c>
      <c r="I761" t="s">
        <v>20</v>
      </c>
      <c r="J761">
        <v>1</v>
      </c>
      <c r="K761">
        <v>0</v>
      </c>
      <c r="L761">
        <v>35</v>
      </c>
      <c r="M761">
        <v>3</v>
      </c>
      <c r="N761">
        <v>1</v>
      </c>
      <c r="O761" t="s">
        <v>36</v>
      </c>
      <c r="P761" t="str" cm="1">
        <f t="array" ref="P7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2" spans="1:16">
      <c r="A762">
        <v>2774</v>
      </c>
      <c r="B762" t="s">
        <v>66</v>
      </c>
      <c r="C762" t="s">
        <v>43</v>
      </c>
      <c r="D762">
        <v>110.8</v>
      </c>
      <c r="E762">
        <v>16</v>
      </c>
      <c r="F762" t="s">
        <v>29</v>
      </c>
      <c r="G762" t="s">
        <v>53</v>
      </c>
      <c r="H762" t="s">
        <v>35</v>
      </c>
      <c r="I762" t="s">
        <v>20</v>
      </c>
      <c r="J762">
        <v>0</v>
      </c>
      <c r="K762">
        <v>0</v>
      </c>
      <c r="L762">
        <v>38</v>
      </c>
      <c r="M762">
        <v>3</v>
      </c>
      <c r="N762">
        <v>0</v>
      </c>
      <c r="O762" t="s">
        <v>21</v>
      </c>
      <c r="P762" t="str" cm="1">
        <f t="array" ref="P7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3" spans="1:16">
      <c r="A763">
        <v>8224</v>
      </c>
      <c r="B763" t="s">
        <v>65</v>
      </c>
      <c r="C763" t="s">
        <v>16</v>
      </c>
      <c r="D763">
        <v>410.54</v>
      </c>
      <c r="E763">
        <v>11</v>
      </c>
      <c r="F763" t="s">
        <v>50</v>
      </c>
      <c r="G763" t="s">
        <v>24</v>
      </c>
      <c r="H763" t="s">
        <v>35</v>
      </c>
      <c r="I763" t="s">
        <v>26</v>
      </c>
      <c r="J763">
        <v>0</v>
      </c>
      <c r="K763">
        <v>0</v>
      </c>
      <c r="L763">
        <v>89</v>
      </c>
      <c r="M763">
        <v>1</v>
      </c>
      <c r="N763">
        <v>0</v>
      </c>
      <c r="O763" t="s">
        <v>21</v>
      </c>
      <c r="P763" t="str" cm="1">
        <f t="array" ref="P7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4" spans="1:16">
      <c r="A764">
        <v>2602</v>
      </c>
      <c r="B764" t="s">
        <v>37</v>
      </c>
      <c r="C764" t="s">
        <v>16</v>
      </c>
      <c r="D764">
        <v>10.06</v>
      </c>
      <c r="E764">
        <v>20</v>
      </c>
      <c r="F764" t="s">
        <v>34</v>
      </c>
      <c r="G764" t="s">
        <v>24</v>
      </c>
      <c r="H764" t="s">
        <v>19</v>
      </c>
      <c r="I764" t="s">
        <v>20</v>
      </c>
      <c r="J764">
        <v>0</v>
      </c>
      <c r="K764">
        <v>0</v>
      </c>
      <c r="L764">
        <v>25</v>
      </c>
      <c r="M764">
        <v>3</v>
      </c>
      <c r="N764">
        <v>0</v>
      </c>
      <c r="O764" t="s">
        <v>21</v>
      </c>
      <c r="P764" t="str" cm="1">
        <f t="array" ref="P7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5" spans="1:16">
      <c r="A765">
        <v>8445</v>
      </c>
      <c r="B765" t="s">
        <v>39</v>
      </c>
      <c r="C765" t="s">
        <v>28</v>
      </c>
      <c r="D765">
        <v>35.65</v>
      </c>
      <c r="E765">
        <v>5</v>
      </c>
      <c r="F765" t="s">
        <v>50</v>
      </c>
      <c r="G765" t="s">
        <v>18</v>
      </c>
      <c r="H765" t="s">
        <v>35</v>
      </c>
      <c r="I765" t="s">
        <v>20</v>
      </c>
      <c r="J765">
        <v>0</v>
      </c>
      <c r="K765">
        <v>0</v>
      </c>
      <c r="L765">
        <v>89</v>
      </c>
      <c r="M765">
        <v>1</v>
      </c>
      <c r="N765">
        <v>0</v>
      </c>
      <c r="O765" t="s">
        <v>21</v>
      </c>
      <c r="P765" t="str" cm="1">
        <f t="array" ref="P7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6" spans="1:16">
      <c r="A766">
        <v>6214</v>
      </c>
      <c r="B766" t="s">
        <v>32</v>
      </c>
      <c r="C766" t="s">
        <v>33</v>
      </c>
      <c r="D766">
        <v>77.739999999999995</v>
      </c>
      <c r="E766">
        <v>0</v>
      </c>
      <c r="F766" t="s">
        <v>29</v>
      </c>
      <c r="G766" t="s">
        <v>24</v>
      </c>
      <c r="H766" t="s">
        <v>35</v>
      </c>
      <c r="I766" t="s">
        <v>26</v>
      </c>
      <c r="J766">
        <v>0</v>
      </c>
      <c r="K766">
        <v>0</v>
      </c>
      <c r="L766">
        <v>35</v>
      </c>
      <c r="M766">
        <v>2</v>
      </c>
      <c r="N766">
        <v>0</v>
      </c>
      <c r="O766" t="s">
        <v>21</v>
      </c>
      <c r="P766" t="str" cm="1">
        <f t="array" ref="P7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7" spans="1:16">
      <c r="A767">
        <v>6128</v>
      </c>
      <c r="B767" t="s">
        <v>60</v>
      </c>
      <c r="C767" t="s">
        <v>23</v>
      </c>
      <c r="D767">
        <v>64.22</v>
      </c>
      <c r="E767">
        <v>0</v>
      </c>
      <c r="F767" t="s">
        <v>17</v>
      </c>
      <c r="G767" t="s">
        <v>24</v>
      </c>
      <c r="H767" t="s">
        <v>19</v>
      </c>
      <c r="I767" t="s">
        <v>20</v>
      </c>
      <c r="J767">
        <v>0</v>
      </c>
      <c r="K767">
        <v>0</v>
      </c>
      <c r="L767">
        <v>82</v>
      </c>
      <c r="M767">
        <v>1</v>
      </c>
      <c r="N767">
        <v>0</v>
      </c>
      <c r="O767" t="s">
        <v>21</v>
      </c>
      <c r="P767" t="str" cm="1">
        <f t="array" ref="P7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8" spans="1:16">
      <c r="A768">
        <v>2924</v>
      </c>
      <c r="B768" t="s">
        <v>66</v>
      </c>
      <c r="C768" t="s">
        <v>43</v>
      </c>
      <c r="D768">
        <v>36.08</v>
      </c>
      <c r="E768">
        <v>12</v>
      </c>
      <c r="F768" t="s">
        <v>50</v>
      </c>
      <c r="G768" t="s">
        <v>18</v>
      </c>
      <c r="H768" t="s">
        <v>48</v>
      </c>
      <c r="I768" t="s">
        <v>26</v>
      </c>
      <c r="J768">
        <v>0</v>
      </c>
      <c r="K768">
        <v>0</v>
      </c>
      <c r="L768">
        <v>25</v>
      </c>
      <c r="M768">
        <v>3</v>
      </c>
      <c r="N768">
        <v>0</v>
      </c>
      <c r="O768" t="s">
        <v>21</v>
      </c>
      <c r="P768" t="str" cm="1">
        <f t="array" ref="P7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69" spans="1:16">
      <c r="A769">
        <v>1334</v>
      </c>
      <c r="B769" t="s">
        <v>56</v>
      </c>
      <c r="C769" t="s">
        <v>52</v>
      </c>
      <c r="D769">
        <v>1009.55</v>
      </c>
      <c r="E769">
        <v>2</v>
      </c>
      <c r="F769" t="s">
        <v>34</v>
      </c>
      <c r="G769" t="s">
        <v>24</v>
      </c>
      <c r="H769" t="s">
        <v>19</v>
      </c>
      <c r="I769" t="s">
        <v>20</v>
      </c>
      <c r="J769">
        <v>0</v>
      </c>
      <c r="K769">
        <v>0</v>
      </c>
      <c r="L769">
        <v>37</v>
      </c>
      <c r="M769">
        <v>0</v>
      </c>
      <c r="N769">
        <v>1</v>
      </c>
      <c r="O769" t="s">
        <v>36</v>
      </c>
      <c r="P769" t="str" cm="1">
        <f t="array" ref="P769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770" spans="1:16">
      <c r="A770">
        <v>2973</v>
      </c>
      <c r="B770" t="s">
        <v>27</v>
      </c>
      <c r="C770" t="s">
        <v>28</v>
      </c>
      <c r="D770">
        <v>277.69</v>
      </c>
      <c r="E770">
        <v>19</v>
      </c>
      <c r="F770" t="s">
        <v>50</v>
      </c>
      <c r="G770" t="s">
        <v>24</v>
      </c>
      <c r="H770" t="s">
        <v>19</v>
      </c>
      <c r="I770" t="s">
        <v>20</v>
      </c>
      <c r="J770">
        <v>0</v>
      </c>
      <c r="K770">
        <v>0</v>
      </c>
      <c r="L770">
        <v>63</v>
      </c>
      <c r="M770">
        <v>1</v>
      </c>
      <c r="N770">
        <v>0</v>
      </c>
      <c r="O770" t="s">
        <v>21</v>
      </c>
      <c r="P770" t="str" cm="1">
        <f t="array" ref="P7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1" spans="1:16">
      <c r="A771">
        <v>2126</v>
      </c>
      <c r="B771" t="s">
        <v>37</v>
      </c>
      <c r="C771" t="s">
        <v>16</v>
      </c>
      <c r="D771">
        <v>198.43</v>
      </c>
      <c r="E771">
        <v>14</v>
      </c>
      <c r="F771" t="s">
        <v>34</v>
      </c>
      <c r="G771" t="s">
        <v>53</v>
      </c>
      <c r="H771" t="s">
        <v>41</v>
      </c>
      <c r="I771" t="s">
        <v>20</v>
      </c>
      <c r="J771">
        <v>1</v>
      </c>
      <c r="K771">
        <v>0</v>
      </c>
      <c r="L771">
        <v>88</v>
      </c>
      <c r="M771">
        <v>0</v>
      </c>
      <c r="N771">
        <v>0</v>
      </c>
      <c r="O771" t="s">
        <v>21</v>
      </c>
      <c r="P771" t="str" cm="1">
        <f t="array" ref="P7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2" spans="1:16">
      <c r="A772">
        <v>3499</v>
      </c>
      <c r="B772" t="s">
        <v>49</v>
      </c>
      <c r="C772" t="s">
        <v>16</v>
      </c>
      <c r="D772">
        <v>39.409999999999997</v>
      </c>
      <c r="E772">
        <v>9</v>
      </c>
      <c r="F772" t="s">
        <v>17</v>
      </c>
      <c r="G772" t="s">
        <v>24</v>
      </c>
      <c r="H772" t="s">
        <v>35</v>
      </c>
      <c r="I772" t="s">
        <v>26</v>
      </c>
      <c r="J772">
        <v>0</v>
      </c>
      <c r="K772">
        <v>0</v>
      </c>
      <c r="L772">
        <v>77</v>
      </c>
      <c r="M772">
        <v>0</v>
      </c>
      <c r="N772">
        <v>0</v>
      </c>
      <c r="O772" t="s">
        <v>21</v>
      </c>
      <c r="P772" t="str" cm="1">
        <f t="array" ref="P7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3" spans="1:16">
      <c r="A773">
        <v>1684</v>
      </c>
      <c r="B773" t="s">
        <v>37</v>
      </c>
      <c r="C773" t="s">
        <v>16</v>
      </c>
      <c r="D773">
        <v>311.16000000000003</v>
      </c>
      <c r="E773">
        <v>0</v>
      </c>
      <c r="F773" t="s">
        <v>50</v>
      </c>
      <c r="G773" t="s">
        <v>24</v>
      </c>
      <c r="H773" t="s">
        <v>48</v>
      </c>
      <c r="I773" t="s">
        <v>26</v>
      </c>
      <c r="J773">
        <v>1</v>
      </c>
      <c r="K773">
        <v>0</v>
      </c>
      <c r="L773">
        <v>28</v>
      </c>
      <c r="M773">
        <v>0</v>
      </c>
      <c r="N773">
        <v>1</v>
      </c>
      <c r="O773" t="s">
        <v>36</v>
      </c>
      <c r="P773" t="str" cm="1">
        <f t="array" ref="P7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4" spans="1:16">
      <c r="A774">
        <v>7017</v>
      </c>
      <c r="B774" t="s">
        <v>45</v>
      </c>
      <c r="C774" t="s">
        <v>28</v>
      </c>
      <c r="D774">
        <v>49.72</v>
      </c>
      <c r="E774">
        <v>23</v>
      </c>
      <c r="F774" t="s">
        <v>19</v>
      </c>
      <c r="G774" t="s">
        <v>18</v>
      </c>
      <c r="H774" t="s">
        <v>35</v>
      </c>
      <c r="I774" t="s">
        <v>26</v>
      </c>
      <c r="J774">
        <v>0</v>
      </c>
      <c r="K774">
        <v>0</v>
      </c>
      <c r="L774">
        <v>85</v>
      </c>
      <c r="M774">
        <v>0</v>
      </c>
      <c r="N774">
        <v>0</v>
      </c>
      <c r="O774" t="s">
        <v>21</v>
      </c>
      <c r="P774" t="str" cm="1">
        <f t="array" ref="P7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5" spans="1:16">
      <c r="A775">
        <v>9456</v>
      </c>
      <c r="B775" t="s">
        <v>32</v>
      </c>
      <c r="C775" t="s">
        <v>33</v>
      </c>
      <c r="D775">
        <v>53.29</v>
      </c>
      <c r="E775">
        <v>0</v>
      </c>
      <c r="F775" t="s">
        <v>34</v>
      </c>
      <c r="G775" t="s">
        <v>24</v>
      </c>
      <c r="H775" t="s">
        <v>35</v>
      </c>
      <c r="I775" t="s">
        <v>20</v>
      </c>
      <c r="J775">
        <v>0</v>
      </c>
      <c r="K775">
        <v>0</v>
      </c>
      <c r="L775">
        <v>33</v>
      </c>
      <c r="M775">
        <v>5</v>
      </c>
      <c r="N775">
        <v>1</v>
      </c>
      <c r="O775" t="s">
        <v>36</v>
      </c>
      <c r="P775" t="str" cm="1">
        <f t="array" ref="P7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6" spans="1:16">
      <c r="A776">
        <v>3401</v>
      </c>
      <c r="B776" t="s">
        <v>32</v>
      </c>
      <c r="C776" t="s">
        <v>33</v>
      </c>
      <c r="D776">
        <v>12.53</v>
      </c>
      <c r="E776">
        <v>15</v>
      </c>
      <c r="F776" t="s">
        <v>34</v>
      </c>
      <c r="G776" t="s">
        <v>24</v>
      </c>
      <c r="H776" t="s">
        <v>30</v>
      </c>
      <c r="I776" t="s">
        <v>31</v>
      </c>
      <c r="J776">
        <v>0</v>
      </c>
      <c r="K776">
        <v>0</v>
      </c>
      <c r="L776">
        <v>87</v>
      </c>
      <c r="M776">
        <v>3</v>
      </c>
      <c r="N776">
        <v>0</v>
      </c>
      <c r="O776" t="s">
        <v>21</v>
      </c>
      <c r="P776" t="str" cm="1">
        <f t="array" ref="P7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7" spans="1:16">
      <c r="A777">
        <v>4007</v>
      </c>
      <c r="B777" t="s">
        <v>32</v>
      </c>
      <c r="C777" t="s">
        <v>33</v>
      </c>
      <c r="D777">
        <v>80.63</v>
      </c>
      <c r="E777">
        <v>12</v>
      </c>
      <c r="F777" t="s">
        <v>50</v>
      </c>
      <c r="G777" t="s">
        <v>24</v>
      </c>
      <c r="H777" t="s">
        <v>48</v>
      </c>
      <c r="I777" t="s">
        <v>20</v>
      </c>
      <c r="J777">
        <v>0</v>
      </c>
      <c r="K777">
        <v>0</v>
      </c>
      <c r="L777">
        <v>42</v>
      </c>
      <c r="M777">
        <v>3</v>
      </c>
      <c r="N777">
        <v>0</v>
      </c>
      <c r="O777" t="s">
        <v>21</v>
      </c>
      <c r="P777" t="str" cm="1">
        <f t="array" ref="P7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8" spans="1:16">
      <c r="A778">
        <v>8024</v>
      </c>
      <c r="B778" t="s">
        <v>51</v>
      </c>
      <c r="C778" t="s">
        <v>52</v>
      </c>
      <c r="D778">
        <v>95.13</v>
      </c>
      <c r="E778">
        <v>15</v>
      </c>
      <c r="F778" t="s">
        <v>17</v>
      </c>
      <c r="G778" t="s">
        <v>24</v>
      </c>
      <c r="H778" t="s">
        <v>19</v>
      </c>
      <c r="I778" t="s">
        <v>20</v>
      </c>
      <c r="J778">
        <v>0</v>
      </c>
      <c r="K778">
        <v>0</v>
      </c>
      <c r="L778">
        <v>85</v>
      </c>
      <c r="M778">
        <v>2</v>
      </c>
      <c r="N778">
        <v>0</v>
      </c>
      <c r="O778" t="s">
        <v>21</v>
      </c>
      <c r="P778" t="str" cm="1">
        <f t="array" ref="P7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79" spans="1:16">
      <c r="A779">
        <v>199</v>
      </c>
      <c r="B779" t="s">
        <v>27</v>
      </c>
      <c r="C779" t="s">
        <v>28</v>
      </c>
      <c r="D779">
        <v>392.6</v>
      </c>
      <c r="E779">
        <v>8</v>
      </c>
      <c r="F779" t="s">
        <v>50</v>
      </c>
      <c r="G779" t="s">
        <v>18</v>
      </c>
      <c r="H779" t="s">
        <v>25</v>
      </c>
      <c r="I779" t="s">
        <v>25</v>
      </c>
      <c r="J779">
        <v>0</v>
      </c>
      <c r="K779">
        <v>0</v>
      </c>
      <c r="L779">
        <v>52</v>
      </c>
      <c r="M779">
        <v>1</v>
      </c>
      <c r="N779">
        <v>0</v>
      </c>
      <c r="O779" t="s">
        <v>21</v>
      </c>
      <c r="P779" t="str" cm="1">
        <f t="array" ref="P7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0" spans="1:16">
      <c r="A780">
        <v>8922</v>
      </c>
      <c r="B780" t="s">
        <v>15</v>
      </c>
      <c r="C780" t="s">
        <v>16</v>
      </c>
      <c r="D780">
        <v>7.01</v>
      </c>
      <c r="E780">
        <v>8</v>
      </c>
      <c r="F780" t="s">
        <v>29</v>
      </c>
      <c r="G780" t="s">
        <v>44</v>
      </c>
      <c r="H780" t="s">
        <v>25</v>
      </c>
      <c r="I780" t="s">
        <v>20</v>
      </c>
      <c r="J780">
        <v>0</v>
      </c>
      <c r="K780">
        <v>0</v>
      </c>
      <c r="L780">
        <v>63</v>
      </c>
      <c r="M780">
        <v>1</v>
      </c>
      <c r="N780">
        <v>0</v>
      </c>
      <c r="O780" t="s">
        <v>21</v>
      </c>
      <c r="P780" t="str" cm="1">
        <f t="array" ref="P7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1" spans="1:16">
      <c r="A781">
        <v>9423</v>
      </c>
      <c r="B781" t="s">
        <v>54</v>
      </c>
      <c r="C781" t="s">
        <v>28</v>
      </c>
      <c r="D781">
        <v>157.44</v>
      </c>
      <c r="E781">
        <v>22</v>
      </c>
      <c r="F781" t="s">
        <v>50</v>
      </c>
      <c r="G781" t="s">
        <v>18</v>
      </c>
      <c r="H781" t="s">
        <v>41</v>
      </c>
      <c r="I781" t="s">
        <v>20</v>
      </c>
      <c r="J781">
        <v>0</v>
      </c>
      <c r="K781">
        <v>0</v>
      </c>
      <c r="L781">
        <v>63</v>
      </c>
      <c r="M781">
        <v>3</v>
      </c>
      <c r="N781">
        <v>0</v>
      </c>
      <c r="O781" t="s">
        <v>21</v>
      </c>
      <c r="P781" t="str" cm="1">
        <f t="array" ref="P7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2" spans="1:16">
      <c r="A782">
        <v>8985</v>
      </c>
      <c r="B782" t="s">
        <v>15</v>
      </c>
      <c r="C782" t="s">
        <v>16</v>
      </c>
      <c r="D782">
        <v>2.06</v>
      </c>
      <c r="E782">
        <v>3</v>
      </c>
      <c r="F782" t="s">
        <v>34</v>
      </c>
      <c r="G782" t="s">
        <v>24</v>
      </c>
      <c r="H782" t="s">
        <v>35</v>
      </c>
      <c r="I782" t="s">
        <v>25</v>
      </c>
      <c r="J782">
        <v>0</v>
      </c>
      <c r="K782">
        <v>0</v>
      </c>
      <c r="L782">
        <v>36</v>
      </c>
      <c r="M782">
        <v>5</v>
      </c>
      <c r="N782">
        <v>1</v>
      </c>
      <c r="O782" t="s">
        <v>36</v>
      </c>
      <c r="P782" t="str" cm="1">
        <f t="array" ref="P7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3" spans="1:16">
      <c r="A783">
        <v>8165</v>
      </c>
      <c r="B783" t="s">
        <v>45</v>
      </c>
      <c r="C783" t="s">
        <v>28</v>
      </c>
      <c r="D783">
        <v>84.98</v>
      </c>
      <c r="E783">
        <v>20</v>
      </c>
      <c r="F783" t="s">
        <v>29</v>
      </c>
      <c r="G783" t="s">
        <v>24</v>
      </c>
      <c r="H783" t="s">
        <v>48</v>
      </c>
      <c r="I783" t="s">
        <v>20</v>
      </c>
      <c r="J783">
        <v>0</v>
      </c>
      <c r="K783">
        <v>0</v>
      </c>
      <c r="L783">
        <v>52</v>
      </c>
      <c r="M783">
        <v>2</v>
      </c>
      <c r="N783">
        <v>0</v>
      </c>
      <c r="O783" t="s">
        <v>21</v>
      </c>
      <c r="P783" t="str" cm="1">
        <f t="array" ref="P7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4" spans="1:16">
      <c r="A784">
        <v>3955</v>
      </c>
      <c r="B784" t="s">
        <v>56</v>
      </c>
      <c r="C784" t="s">
        <v>52</v>
      </c>
      <c r="D784">
        <v>47.39</v>
      </c>
      <c r="E784">
        <v>2</v>
      </c>
      <c r="F784" t="s">
        <v>17</v>
      </c>
      <c r="G784" t="s">
        <v>24</v>
      </c>
      <c r="H784" t="s">
        <v>35</v>
      </c>
      <c r="I784" t="s">
        <v>20</v>
      </c>
      <c r="J784">
        <v>0</v>
      </c>
      <c r="K784">
        <v>0</v>
      </c>
      <c r="L784">
        <v>43</v>
      </c>
      <c r="M784">
        <v>1</v>
      </c>
      <c r="N784">
        <v>0</v>
      </c>
      <c r="O784" t="s">
        <v>21</v>
      </c>
      <c r="P784" t="str" cm="1">
        <f t="array" ref="P7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5" spans="1:16">
      <c r="A785">
        <v>2509</v>
      </c>
      <c r="B785" t="s">
        <v>15</v>
      </c>
      <c r="C785" t="s">
        <v>16</v>
      </c>
      <c r="D785">
        <v>337.88</v>
      </c>
      <c r="E785">
        <v>3</v>
      </c>
      <c r="F785" t="s">
        <v>29</v>
      </c>
      <c r="G785" t="s">
        <v>53</v>
      </c>
      <c r="H785" t="s">
        <v>41</v>
      </c>
      <c r="I785" t="s">
        <v>26</v>
      </c>
      <c r="J785">
        <v>0</v>
      </c>
      <c r="K785">
        <v>0</v>
      </c>
      <c r="L785">
        <v>91</v>
      </c>
      <c r="M785">
        <v>1</v>
      </c>
      <c r="N785">
        <v>0</v>
      </c>
      <c r="O785" t="s">
        <v>21</v>
      </c>
      <c r="P785" t="str" cm="1">
        <f t="array" ref="P7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6" spans="1:16">
      <c r="A786">
        <v>9439</v>
      </c>
      <c r="B786" t="s">
        <v>37</v>
      </c>
      <c r="C786" t="s">
        <v>16</v>
      </c>
      <c r="D786">
        <v>0.16</v>
      </c>
      <c r="E786">
        <v>1</v>
      </c>
      <c r="F786" t="s">
        <v>34</v>
      </c>
      <c r="G786" t="s">
        <v>24</v>
      </c>
      <c r="H786" t="s">
        <v>25</v>
      </c>
      <c r="I786" t="s">
        <v>20</v>
      </c>
      <c r="J786">
        <v>0</v>
      </c>
      <c r="K786">
        <v>0</v>
      </c>
      <c r="L786">
        <v>77</v>
      </c>
      <c r="M786">
        <v>2</v>
      </c>
      <c r="N786">
        <v>0</v>
      </c>
      <c r="O786" t="s">
        <v>21</v>
      </c>
      <c r="P786" t="str" cm="1">
        <f t="array" ref="P7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7" spans="1:16">
      <c r="A787">
        <v>474</v>
      </c>
      <c r="B787" t="s">
        <v>39</v>
      </c>
      <c r="C787" t="s">
        <v>28</v>
      </c>
      <c r="D787">
        <v>399.19</v>
      </c>
      <c r="E787">
        <v>13</v>
      </c>
      <c r="F787" t="s">
        <v>29</v>
      </c>
      <c r="G787" t="s">
        <v>38</v>
      </c>
      <c r="H787" t="s">
        <v>35</v>
      </c>
      <c r="I787" t="s">
        <v>31</v>
      </c>
      <c r="J787">
        <v>0</v>
      </c>
      <c r="K787">
        <v>0</v>
      </c>
      <c r="L787">
        <v>36</v>
      </c>
      <c r="M787">
        <v>1</v>
      </c>
      <c r="N787">
        <v>0</v>
      </c>
      <c r="O787" t="s">
        <v>21</v>
      </c>
      <c r="P787" t="str" cm="1">
        <f t="array" ref="P7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8" spans="1:16">
      <c r="A788">
        <v>6655</v>
      </c>
      <c r="B788" t="s">
        <v>32</v>
      </c>
      <c r="C788" t="s">
        <v>33</v>
      </c>
      <c r="D788">
        <v>49.25</v>
      </c>
      <c r="E788">
        <v>16</v>
      </c>
      <c r="F788" t="s">
        <v>29</v>
      </c>
      <c r="G788" t="s">
        <v>24</v>
      </c>
      <c r="H788" t="s">
        <v>41</v>
      </c>
      <c r="I788" t="s">
        <v>26</v>
      </c>
      <c r="J788">
        <v>0</v>
      </c>
      <c r="K788">
        <v>0</v>
      </c>
      <c r="L788">
        <v>65</v>
      </c>
      <c r="M788">
        <v>3</v>
      </c>
      <c r="N788">
        <v>0</v>
      </c>
      <c r="O788" t="s">
        <v>21</v>
      </c>
      <c r="P788" t="str" cm="1">
        <f t="array" ref="P7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89" spans="1:16">
      <c r="A789">
        <v>3777</v>
      </c>
      <c r="B789" t="s">
        <v>45</v>
      </c>
      <c r="C789" t="s">
        <v>28</v>
      </c>
      <c r="D789">
        <v>309.64999999999998</v>
      </c>
      <c r="E789">
        <v>15</v>
      </c>
      <c r="F789" t="s">
        <v>19</v>
      </c>
      <c r="G789" t="s">
        <v>18</v>
      </c>
      <c r="H789" t="s">
        <v>41</v>
      </c>
      <c r="I789" t="s">
        <v>20</v>
      </c>
      <c r="J789">
        <v>0</v>
      </c>
      <c r="K789">
        <v>0</v>
      </c>
      <c r="L789">
        <v>49</v>
      </c>
      <c r="M789">
        <v>4</v>
      </c>
      <c r="N789">
        <v>0</v>
      </c>
      <c r="O789" t="s">
        <v>21</v>
      </c>
      <c r="P789" t="str" cm="1">
        <f t="array" ref="P7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0" spans="1:16">
      <c r="A790">
        <v>8434</v>
      </c>
      <c r="B790" t="s">
        <v>61</v>
      </c>
      <c r="C790" t="s">
        <v>28</v>
      </c>
      <c r="D790">
        <v>357.06</v>
      </c>
      <c r="E790">
        <v>1</v>
      </c>
      <c r="F790" t="s">
        <v>34</v>
      </c>
      <c r="G790" t="s">
        <v>18</v>
      </c>
      <c r="H790" t="s">
        <v>41</v>
      </c>
      <c r="I790" t="s">
        <v>20</v>
      </c>
      <c r="J790">
        <v>0</v>
      </c>
      <c r="K790">
        <v>1</v>
      </c>
      <c r="L790">
        <v>54</v>
      </c>
      <c r="M790">
        <v>3</v>
      </c>
      <c r="N790">
        <v>0</v>
      </c>
      <c r="O790" t="s">
        <v>21</v>
      </c>
      <c r="P790" t="str" cm="1">
        <f t="array" ref="P7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1" spans="1:16">
      <c r="A791">
        <v>2530</v>
      </c>
      <c r="B791" t="s">
        <v>56</v>
      </c>
      <c r="C791" t="s">
        <v>52</v>
      </c>
      <c r="D791">
        <v>1103.19</v>
      </c>
      <c r="E791">
        <v>1</v>
      </c>
      <c r="F791" t="s">
        <v>17</v>
      </c>
      <c r="G791" t="s">
        <v>24</v>
      </c>
      <c r="H791" t="s">
        <v>35</v>
      </c>
      <c r="I791" t="s">
        <v>20</v>
      </c>
      <c r="J791">
        <v>0</v>
      </c>
      <c r="K791">
        <v>0</v>
      </c>
      <c r="L791">
        <v>36</v>
      </c>
      <c r="M791">
        <v>0</v>
      </c>
      <c r="N791">
        <v>1</v>
      </c>
      <c r="O791" t="s">
        <v>36</v>
      </c>
      <c r="P791" t="str" cm="1">
        <f t="array" ref="P791">_xlfn.IFS(FraudData[[#This Row],[amount]]&lt;500,"Below 500",FraudData[[#This Row],[amount]]&lt;1000,"500-999",FraudData[[#This Row],[amount]]&lt;5000,"1000-4999",FraudData[[#This Row],[amount]]&lt;10000,"5000-9999",TRUE,"10000+")</f>
        <v>1000-4999</v>
      </c>
    </row>
    <row r="792" spans="1:16">
      <c r="A792">
        <v>1624</v>
      </c>
      <c r="B792" t="s">
        <v>46</v>
      </c>
      <c r="C792" t="s">
        <v>23</v>
      </c>
      <c r="D792">
        <v>569.02</v>
      </c>
      <c r="E792">
        <v>1</v>
      </c>
      <c r="F792" t="s">
        <v>50</v>
      </c>
      <c r="G792" t="s">
        <v>24</v>
      </c>
      <c r="H792" t="s">
        <v>25</v>
      </c>
      <c r="I792" t="s">
        <v>31</v>
      </c>
      <c r="J792">
        <v>1</v>
      </c>
      <c r="K792">
        <v>1</v>
      </c>
      <c r="L792">
        <v>49</v>
      </c>
      <c r="M792">
        <v>2</v>
      </c>
      <c r="N792">
        <v>1</v>
      </c>
      <c r="O792" t="s">
        <v>36</v>
      </c>
      <c r="P792" t="str" cm="1">
        <f t="array" ref="P792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793" spans="1:16">
      <c r="A793">
        <v>317</v>
      </c>
      <c r="B793" t="s">
        <v>57</v>
      </c>
      <c r="C793" t="s">
        <v>43</v>
      </c>
      <c r="D793">
        <v>94.65</v>
      </c>
      <c r="E793">
        <v>2</v>
      </c>
      <c r="F793" t="s">
        <v>19</v>
      </c>
      <c r="G793" t="s">
        <v>24</v>
      </c>
      <c r="H793" t="s">
        <v>41</v>
      </c>
      <c r="I793" t="s">
        <v>20</v>
      </c>
      <c r="J793">
        <v>0</v>
      </c>
      <c r="K793">
        <v>0</v>
      </c>
      <c r="L793">
        <v>37</v>
      </c>
      <c r="M793">
        <v>0</v>
      </c>
      <c r="N793">
        <v>0</v>
      </c>
      <c r="O793" t="s">
        <v>21</v>
      </c>
      <c r="P793" t="str" cm="1">
        <f t="array" ref="P7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4" spans="1:16">
      <c r="A794">
        <v>1118</v>
      </c>
      <c r="B794" t="s">
        <v>47</v>
      </c>
      <c r="C794" t="s">
        <v>16</v>
      </c>
      <c r="D794">
        <v>377.88</v>
      </c>
      <c r="E794">
        <v>18</v>
      </c>
      <c r="F794" t="s">
        <v>50</v>
      </c>
      <c r="G794" t="s">
        <v>44</v>
      </c>
      <c r="H794" t="s">
        <v>25</v>
      </c>
      <c r="I794" t="s">
        <v>31</v>
      </c>
      <c r="J794">
        <v>0</v>
      </c>
      <c r="K794">
        <v>0</v>
      </c>
      <c r="L794">
        <v>26</v>
      </c>
      <c r="M794">
        <v>1</v>
      </c>
      <c r="N794">
        <v>0</v>
      </c>
      <c r="O794" t="s">
        <v>21</v>
      </c>
      <c r="P794" t="str" cm="1">
        <f t="array" ref="P7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5" spans="1:16">
      <c r="A795">
        <v>8687</v>
      </c>
      <c r="B795" t="s">
        <v>49</v>
      </c>
      <c r="C795" t="s">
        <v>16</v>
      </c>
      <c r="D795">
        <v>68.27</v>
      </c>
      <c r="E795">
        <v>9</v>
      </c>
      <c r="F795" t="s">
        <v>29</v>
      </c>
      <c r="G795" t="s">
        <v>18</v>
      </c>
      <c r="H795" t="s">
        <v>19</v>
      </c>
      <c r="I795" t="s">
        <v>20</v>
      </c>
      <c r="J795">
        <v>0</v>
      </c>
      <c r="K795">
        <v>0</v>
      </c>
      <c r="L795">
        <v>26</v>
      </c>
      <c r="M795">
        <v>1</v>
      </c>
      <c r="N795">
        <v>0</v>
      </c>
      <c r="O795" t="s">
        <v>21</v>
      </c>
      <c r="P795" t="str" cm="1">
        <f t="array" ref="P7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6" spans="1:16">
      <c r="A796">
        <v>1397</v>
      </c>
      <c r="B796" t="s">
        <v>15</v>
      </c>
      <c r="C796" t="s">
        <v>16</v>
      </c>
      <c r="D796">
        <v>101.46</v>
      </c>
      <c r="E796">
        <v>7</v>
      </c>
      <c r="F796" t="s">
        <v>34</v>
      </c>
      <c r="G796" t="s">
        <v>18</v>
      </c>
      <c r="H796" t="s">
        <v>19</v>
      </c>
      <c r="I796" t="s">
        <v>26</v>
      </c>
      <c r="J796">
        <v>0</v>
      </c>
      <c r="K796">
        <v>0</v>
      </c>
      <c r="L796">
        <v>46</v>
      </c>
      <c r="M796">
        <v>3</v>
      </c>
      <c r="N796">
        <v>0</v>
      </c>
      <c r="O796" t="s">
        <v>21</v>
      </c>
      <c r="P796" t="str" cm="1">
        <f t="array" ref="P7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7" spans="1:16">
      <c r="A797">
        <v>6581</v>
      </c>
      <c r="B797" t="s">
        <v>70</v>
      </c>
      <c r="C797" t="s">
        <v>28</v>
      </c>
      <c r="D797">
        <v>384.23</v>
      </c>
      <c r="E797">
        <v>10</v>
      </c>
      <c r="F797" t="s">
        <v>29</v>
      </c>
      <c r="G797" t="s">
        <v>18</v>
      </c>
      <c r="H797" t="s">
        <v>35</v>
      </c>
      <c r="I797" t="s">
        <v>20</v>
      </c>
      <c r="J797">
        <v>0</v>
      </c>
      <c r="K797">
        <v>0</v>
      </c>
      <c r="L797">
        <v>28</v>
      </c>
      <c r="M797">
        <v>1</v>
      </c>
      <c r="N797">
        <v>0</v>
      </c>
      <c r="O797" t="s">
        <v>21</v>
      </c>
      <c r="P797" t="str" cm="1">
        <f t="array" ref="P7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8" spans="1:16">
      <c r="A798">
        <v>5052</v>
      </c>
      <c r="B798" t="s">
        <v>61</v>
      </c>
      <c r="C798" t="s">
        <v>28</v>
      </c>
      <c r="D798">
        <v>294.42</v>
      </c>
      <c r="E798">
        <v>7</v>
      </c>
      <c r="F798" t="s">
        <v>34</v>
      </c>
      <c r="G798" t="s">
        <v>18</v>
      </c>
      <c r="H798" t="s">
        <v>35</v>
      </c>
      <c r="I798" t="s">
        <v>20</v>
      </c>
      <c r="J798">
        <v>0</v>
      </c>
      <c r="K798">
        <v>0</v>
      </c>
      <c r="L798">
        <v>42</v>
      </c>
      <c r="M798">
        <v>2</v>
      </c>
      <c r="N798">
        <v>0</v>
      </c>
      <c r="O798" t="s">
        <v>21</v>
      </c>
      <c r="P798" t="str" cm="1">
        <f t="array" ref="P7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799" spans="1:16">
      <c r="A799">
        <v>5263</v>
      </c>
      <c r="B799" t="s">
        <v>32</v>
      </c>
      <c r="C799" t="s">
        <v>33</v>
      </c>
      <c r="D799">
        <v>146.83000000000001</v>
      </c>
      <c r="E799">
        <v>2</v>
      </c>
      <c r="F799" t="s">
        <v>50</v>
      </c>
      <c r="G799" t="s">
        <v>24</v>
      </c>
      <c r="H799" t="s">
        <v>48</v>
      </c>
      <c r="I799" t="s">
        <v>26</v>
      </c>
      <c r="J799">
        <v>0</v>
      </c>
      <c r="K799">
        <v>1</v>
      </c>
      <c r="L799">
        <v>94</v>
      </c>
      <c r="M799">
        <v>4</v>
      </c>
      <c r="N799">
        <v>0</v>
      </c>
      <c r="O799" t="s">
        <v>21</v>
      </c>
      <c r="P799" t="str" cm="1">
        <f t="array" ref="P7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0" spans="1:16">
      <c r="A800">
        <v>2283</v>
      </c>
      <c r="B800" t="s">
        <v>15</v>
      </c>
      <c r="C800" t="s">
        <v>16</v>
      </c>
      <c r="D800">
        <v>115.13</v>
      </c>
      <c r="E800">
        <v>1</v>
      </c>
      <c r="F800" t="s">
        <v>34</v>
      </c>
      <c r="G800" t="s">
        <v>18</v>
      </c>
      <c r="H800" t="s">
        <v>30</v>
      </c>
      <c r="I800" t="s">
        <v>31</v>
      </c>
      <c r="J800">
        <v>1</v>
      </c>
      <c r="K800">
        <v>0</v>
      </c>
      <c r="L800">
        <v>34</v>
      </c>
      <c r="M800">
        <v>1</v>
      </c>
      <c r="N800">
        <v>1</v>
      </c>
      <c r="O800" t="s">
        <v>36</v>
      </c>
      <c r="P800" t="str" cm="1">
        <f t="array" ref="P8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1" spans="1:16">
      <c r="A801">
        <v>8842</v>
      </c>
      <c r="B801" t="s">
        <v>59</v>
      </c>
      <c r="C801" t="s">
        <v>16</v>
      </c>
      <c r="D801">
        <v>345.89</v>
      </c>
      <c r="E801">
        <v>4</v>
      </c>
      <c r="F801" t="s">
        <v>19</v>
      </c>
      <c r="G801" t="s">
        <v>24</v>
      </c>
      <c r="H801" t="s">
        <v>41</v>
      </c>
      <c r="I801" t="s">
        <v>26</v>
      </c>
      <c r="J801">
        <v>0</v>
      </c>
      <c r="K801">
        <v>0</v>
      </c>
      <c r="L801">
        <v>70</v>
      </c>
      <c r="M801">
        <v>2</v>
      </c>
      <c r="N801">
        <v>0</v>
      </c>
      <c r="O801" t="s">
        <v>21</v>
      </c>
      <c r="P801" t="str" cm="1">
        <f t="array" ref="P8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2" spans="1:16">
      <c r="A802">
        <v>3301</v>
      </c>
      <c r="B802" t="s">
        <v>47</v>
      </c>
      <c r="C802" t="s">
        <v>16</v>
      </c>
      <c r="D802">
        <v>102.28</v>
      </c>
      <c r="E802">
        <v>2</v>
      </c>
      <c r="F802" t="s">
        <v>17</v>
      </c>
      <c r="G802" t="s">
        <v>18</v>
      </c>
      <c r="H802" t="s">
        <v>41</v>
      </c>
      <c r="I802" t="s">
        <v>20</v>
      </c>
      <c r="J802">
        <v>1</v>
      </c>
      <c r="K802">
        <v>0</v>
      </c>
      <c r="L802">
        <v>32</v>
      </c>
      <c r="M802">
        <v>2</v>
      </c>
      <c r="N802">
        <v>1</v>
      </c>
      <c r="O802" t="s">
        <v>36</v>
      </c>
      <c r="P802" t="str" cm="1">
        <f t="array" ref="P8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3" spans="1:16">
      <c r="A803">
        <v>7947</v>
      </c>
      <c r="B803" t="s">
        <v>22</v>
      </c>
      <c r="C803" t="s">
        <v>23</v>
      </c>
      <c r="D803">
        <v>176.52</v>
      </c>
      <c r="E803">
        <v>10</v>
      </c>
      <c r="F803" t="s">
        <v>17</v>
      </c>
      <c r="G803" t="s">
        <v>18</v>
      </c>
      <c r="H803" t="s">
        <v>48</v>
      </c>
      <c r="I803" t="s">
        <v>20</v>
      </c>
      <c r="J803">
        <v>0</v>
      </c>
      <c r="K803">
        <v>0</v>
      </c>
      <c r="L803">
        <v>39</v>
      </c>
      <c r="M803">
        <v>1</v>
      </c>
      <c r="N803">
        <v>0</v>
      </c>
      <c r="O803" t="s">
        <v>21</v>
      </c>
      <c r="P803" t="str" cm="1">
        <f t="array" ref="P8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4" spans="1:16">
      <c r="A804">
        <v>2479</v>
      </c>
      <c r="B804" t="s">
        <v>45</v>
      </c>
      <c r="C804" t="s">
        <v>28</v>
      </c>
      <c r="D804">
        <v>24</v>
      </c>
      <c r="E804">
        <v>23</v>
      </c>
      <c r="F804" t="s">
        <v>34</v>
      </c>
      <c r="G804" t="s">
        <v>24</v>
      </c>
      <c r="H804" t="s">
        <v>19</v>
      </c>
      <c r="I804" t="s">
        <v>25</v>
      </c>
      <c r="J804">
        <v>0</v>
      </c>
      <c r="K804">
        <v>0</v>
      </c>
      <c r="L804">
        <v>65</v>
      </c>
      <c r="M804">
        <v>2</v>
      </c>
      <c r="N804">
        <v>0</v>
      </c>
      <c r="O804" t="s">
        <v>21</v>
      </c>
      <c r="P804" t="str" cm="1">
        <f t="array" ref="P8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5" spans="1:16">
      <c r="A805">
        <v>322</v>
      </c>
      <c r="B805" t="s">
        <v>49</v>
      </c>
      <c r="C805" t="s">
        <v>16</v>
      </c>
      <c r="D805">
        <v>225.69</v>
      </c>
      <c r="E805">
        <v>15</v>
      </c>
      <c r="F805" t="s">
        <v>34</v>
      </c>
      <c r="G805" t="s">
        <v>38</v>
      </c>
      <c r="H805" t="s">
        <v>48</v>
      </c>
      <c r="I805" t="s">
        <v>20</v>
      </c>
      <c r="J805">
        <v>0</v>
      </c>
      <c r="K805">
        <v>0</v>
      </c>
      <c r="L805">
        <v>97</v>
      </c>
      <c r="M805">
        <v>2</v>
      </c>
      <c r="N805">
        <v>0</v>
      </c>
      <c r="O805" t="s">
        <v>21</v>
      </c>
      <c r="P805" t="str" cm="1">
        <f t="array" ref="P8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6" spans="1:16">
      <c r="A806">
        <v>6564</v>
      </c>
      <c r="B806" t="s">
        <v>64</v>
      </c>
      <c r="C806" t="s">
        <v>23</v>
      </c>
      <c r="D806">
        <v>154.84</v>
      </c>
      <c r="E806">
        <v>23</v>
      </c>
      <c r="F806" t="s">
        <v>50</v>
      </c>
      <c r="G806" t="s">
        <v>24</v>
      </c>
      <c r="H806" t="s">
        <v>35</v>
      </c>
      <c r="I806" t="s">
        <v>25</v>
      </c>
      <c r="J806">
        <v>0</v>
      </c>
      <c r="K806">
        <v>0</v>
      </c>
      <c r="L806">
        <v>60</v>
      </c>
      <c r="M806">
        <v>4</v>
      </c>
      <c r="N806">
        <v>0</v>
      </c>
      <c r="O806" t="s">
        <v>21</v>
      </c>
      <c r="P806" t="str" cm="1">
        <f t="array" ref="P8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7" spans="1:16">
      <c r="A807">
        <v>850</v>
      </c>
      <c r="B807" t="s">
        <v>15</v>
      </c>
      <c r="C807" t="s">
        <v>16</v>
      </c>
      <c r="D807">
        <v>162.87</v>
      </c>
      <c r="E807">
        <v>6</v>
      </c>
      <c r="F807" t="s">
        <v>17</v>
      </c>
      <c r="G807" t="s">
        <v>24</v>
      </c>
      <c r="H807" t="s">
        <v>35</v>
      </c>
      <c r="I807" t="s">
        <v>31</v>
      </c>
      <c r="J807">
        <v>0</v>
      </c>
      <c r="K807">
        <v>0</v>
      </c>
      <c r="L807">
        <v>80</v>
      </c>
      <c r="M807">
        <v>2</v>
      </c>
      <c r="N807">
        <v>0</v>
      </c>
      <c r="O807" t="s">
        <v>21</v>
      </c>
      <c r="P807" t="str" cm="1">
        <f t="array" ref="P8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8" spans="1:16">
      <c r="A808">
        <v>992</v>
      </c>
      <c r="B808" t="s">
        <v>15</v>
      </c>
      <c r="C808" t="s">
        <v>16</v>
      </c>
      <c r="D808">
        <v>213.56</v>
      </c>
      <c r="E808">
        <v>6</v>
      </c>
      <c r="F808" t="s">
        <v>29</v>
      </c>
      <c r="G808" t="s">
        <v>24</v>
      </c>
      <c r="H808" t="s">
        <v>30</v>
      </c>
      <c r="I808" t="s">
        <v>26</v>
      </c>
      <c r="J808">
        <v>0</v>
      </c>
      <c r="K808">
        <v>0</v>
      </c>
      <c r="L808">
        <v>90</v>
      </c>
      <c r="M808">
        <v>1</v>
      </c>
      <c r="N808">
        <v>0</v>
      </c>
      <c r="O808" t="s">
        <v>21</v>
      </c>
      <c r="P808" t="str" cm="1">
        <f t="array" ref="P8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09" spans="1:16">
      <c r="A809">
        <v>8609</v>
      </c>
      <c r="B809" t="s">
        <v>39</v>
      </c>
      <c r="C809" t="s">
        <v>28</v>
      </c>
      <c r="D809">
        <v>184.02</v>
      </c>
      <c r="E809">
        <v>8</v>
      </c>
      <c r="F809" t="s">
        <v>34</v>
      </c>
      <c r="G809" t="s">
        <v>24</v>
      </c>
      <c r="H809" t="s">
        <v>35</v>
      </c>
      <c r="I809" t="s">
        <v>20</v>
      </c>
      <c r="J809">
        <v>0</v>
      </c>
      <c r="K809">
        <v>0</v>
      </c>
      <c r="L809">
        <v>95</v>
      </c>
      <c r="M809">
        <v>6</v>
      </c>
      <c r="N809">
        <v>0</v>
      </c>
      <c r="O809" t="s">
        <v>21</v>
      </c>
      <c r="P809" t="str" cm="1">
        <f t="array" ref="P8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0" spans="1:16">
      <c r="A810">
        <v>9408</v>
      </c>
      <c r="B810" t="s">
        <v>49</v>
      </c>
      <c r="C810" t="s">
        <v>16</v>
      </c>
      <c r="D810">
        <v>137.75</v>
      </c>
      <c r="E810">
        <v>8</v>
      </c>
      <c r="F810" t="s">
        <v>19</v>
      </c>
      <c r="G810" t="s">
        <v>53</v>
      </c>
      <c r="H810" t="s">
        <v>48</v>
      </c>
      <c r="I810" t="s">
        <v>20</v>
      </c>
      <c r="J810">
        <v>0</v>
      </c>
      <c r="K810">
        <v>0</v>
      </c>
      <c r="L810">
        <v>66</v>
      </c>
      <c r="M810">
        <v>1</v>
      </c>
      <c r="N810">
        <v>0</v>
      </c>
      <c r="O810" t="s">
        <v>21</v>
      </c>
      <c r="P810" t="str" cm="1">
        <f t="array" ref="P8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1" spans="1:16">
      <c r="A811">
        <v>9100</v>
      </c>
      <c r="B811" t="s">
        <v>69</v>
      </c>
      <c r="C811" t="s">
        <v>33</v>
      </c>
      <c r="D811">
        <v>85.52</v>
      </c>
      <c r="E811">
        <v>3</v>
      </c>
      <c r="F811" t="s">
        <v>17</v>
      </c>
      <c r="G811" t="s">
        <v>18</v>
      </c>
      <c r="H811" t="s">
        <v>35</v>
      </c>
      <c r="I811" t="s">
        <v>20</v>
      </c>
      <c r="J811">
        <v>0</v>
      </c>
      <c r="K811">
        <v>0</v>
      </c>
      <c r="L811">
        <v>33</v>
      </c>
      <c r="M811">
        <v>3</v>
      </c>
      <c r="N811">
        <v>0</v>
      </c>
      <c r="O811" t="s">
        <v>21</v>
      </c>
      <c r="P811" t="str" cm="1">
        <f t="array" ref="P8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2" spans="1:16">
      <c r="A812">
        <v>7156</v>
      </c>
      <c r="B812" t="s">
        <v>59</v>
      </c>
      <c r="C812" t="s">
        <v>16</v>
      </c>
      <c r="D812">
        <v>311.45</v>
      </c>
      <c r="E812">
        <v>20</v>
      </c>
      <c r="F812" t="s">
        <v>34</v>
      </c>
      <c r="G812" t="s">
        <v>18</v>
      </c>
      <c r="H812" t="s">
        <v>48</v>
      </c>
      <c r="I812" t="s">
        <v>25</v>
      </c>
      <c r="J812">
        <v>0</v>
      </c>
      <c r="K812">
        <v>0</v>
      </c>
      <c r="L812">
        <v>27</v>
      </c>
      <c r="M812">
        <v>2</v>
      </c>
      <c r="N812">
        <v>0</v>
      </c>
      <c r="O812" t="s">
        <v>21</v>
      </c>
      <c r="P812" t="str" cm="1">
        <f t="array" ref="P8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3" spans="1:16">
      <c r="A813">
        <v>8808</v>
      </c>
      <c r="B813" t="s">
        <v>63</v>
      </c>
      <c r="C813" t="s">
        <v>28</v>
      </c>
      <c r="D813">
        <v>262.88</v>
      </c>
      <c r="E813">
        <v>11</v>
      </c>
      <c r="F813" t="s">
        <v>34</v>
      </c>
      <c r="G813" t="s">
        <v>44</v>
      </c>
      <c r="H813" t="s">
        <v>30</v>
      </c>
      <c r="I813" t="s">
        <v>20</v>
      </c>
      <c r="J813">
        <v>0</v>
      </c>
      <c r="K813">
        <v>0</v>
      </c>
      <c r="L813">
        <v>75</v>
      </c>
      <c r="M813">
        <v>5</v>
      </c>
      <c r="N813">
        <v>0</v>
      </c>
      <c r="O813" t="s">
        <v>21</v>
      </c>
      <c r="P813" t="str" cm="1">
        <f t="array" ref="P81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4" spans="1:16">
      <c r="A814">
        <v>3190</v>
      </c>
      <c r="B814" t="s">
        <v>49</v>
      </c>
      <c r="C814" t="s">
        <v>16</v>
      </c>
      <c r="D814">
        <v>280.31</v>
      </c>
      <c r="E814">
        <v>12</v>
      </c>
      <c r="F814" t="s">
        <v>50</v>
      </c>
      <c r="G814" t="s">
        <v>18</v>
      </c>
      <c r="H814" t="s">
        <v>41</v>
      </c>
      <c r="I814" t="s">
        <v>20</v>
      </c>
      <c r="J814">
        <v>0</v>
      </c>
      <c r="K814">
        <v>0</v>
      </c>
      <c r="L814">
        <v>62</v>
      </c>
      <c r="M814">
        <v>0</v>
      </c>
      <c r="N814">
        <v>0</v>
      </c>
      <c r="O814" t="s">
        <v>21</v>
      </c>
      <c r="P814" t="str" cm="1">
        <f t="array" ref="P8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5" spans="1:16">
      <c r="A815">
        <v>646</v>
      </c>
      <c r="B815" t="s">
        <v>62</v>
      </c>
      <c r="C815" t="s">
        <v>43</v>
      </c>
      <c r="D815">
        <v>398.17</v>
      </c>
      <c r="E815">
        <v>1</v>
      </c>
      <c r="F815" t="s">
        <v>19</v>
      </c>
      <c r="G815" t="s">
        <v>53</v>
      </c>
      <c r="H815" t="s">
        <v>41</v>
      </c>
      <c r="I815" t="s">
        <v>26</v>
      </c>
      <c r="J815">
        <v>1</v>
      </c>
      <c r="K815">
        <v>1</v>
      </c>
      <c r="L815">
        <v>72</v>
      </c>
      <c r="M815">
        <v>2</v>
      </c>
      <c r="N815">
        <v>1</v>
      </c>
      <c r="O815" t="s">
        <v>36</v>
      </c>
      <c r="P815" t="str" cm="1">
        <f t="array" ref="P8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6" spans="1:16">
      <c r="A816">
        <v>9850</v>
      </c>
      <c r="B816" t="s">
        <v>32</v>
      </c>
      <c r="C816" t="s">
        <v>33</v>
      </c>
      <c r="D816">
        <v>126.13</v>
      </c>
      <c r="E816">
        <v>19</v>
      </c>
      <c r="F816" t="s">
        <v>19</v>
      </c>
      <c r="G816" t="s">
        <v>44</v>
      </c>
      <c r="H816" t="s">
        <v>48</v>
      </c>
      <c r="I816" t="s">
        <v>20</v>
      </c>
      <c r="J816">
        <v>1</v>
      </c>
      <c r="K816">
        <v>0</v>
      </c>
      <c r="L816">
        <v>53</v>
      </c>
      <c r="M816">
        <v>1</v>
      </c>
      <c r="N816">
        <v>0</v>
      </c>
      <c r="O816" t="s">
        <v>21</v>
      </c>
      <c r="P816" t="str" cm="1">
        <f t="array" ref="P8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7" spans="1:16">
      <c r="A817">
        <v>1833</v>
      </c>
      <c r="B817" t="s">
        <v>60</v>
      </c>
      <c r="C817" t="s">
        <v>23</v>
      </c>
      <c r="D817">
        <v>157.19</v>
      </c>
      <c r="E817">
        <v>17</v>
      </c>
      <c r="F817" t="s">
        <v>29</v>
      </c>
      <c r="G817" t="s">
        <v>24</v>
      </c>
      <c r="H817" t="s">
        <v>25</v>
      </c>
      <c r="I817" t="s">
        <v>26</v>
      </c>
      <c r="J817">
        <v>0</v>
      </c>
      <c r="K817">
        <v>0</v>
      </c>
      <c r="L817">
        <v>32</v>
      </c>
      <c r="M817">
        <v>1</v>
      </c>
      <c r="N817">
        <v>0</v>
      </c>
      <c r="O817" t="s">
        <v>21</v>
      </c>
      <c r="P817" t="str" cm="1">
        <f t="array" ref="P8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8" spans="1:16">
      <c r="A818">
        <v>9017</v>
      </c>
      <c r="B818" t="s">
        <v>45</v>
      </c>
      <c r="C818" t="s">
        <v>28</v>
      </c>
      <c r="D818">
        <v>19.72</v>
      </c>
      <c r="E818">
        <v>17</v>
      </c>
      <c r="F818" t="s">
        <v>19</v>
      </c>
      <c r="G818" t="s">
        <v>53</v>
      </c>
      <c r="H818" t="s">
        <v>35</v>
      </c>
      <c r="I818" t="s">
        <v>31</v>
      </c>
      <c r="J818">
        <v>0</v>
      </c>
      <c r="K818">
        <v>0</v>
      </c>
      <c r="L818">
        <v>41</v>
      </c>
      <c r="M818">
        <v>1</v>
      </c>
      <c r="N818">
        <v>0</v>
      </c>
      <c r="O818" t="s">
        <v>21</v>
      </c>
      <c r="P818" t="str" cm="1">
        <f t="array" ref="P8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19" spans="1:16">
      <c r="A819">
        <v>6884</v>
      </c>
      <c r="B819" t="s">
        <v>32</v>
      </c>
      <c r="C819" t="s">
        <v>33</v>
      </c>
      <c r="D819">
        <v>112.75</v>
      </c>
      <c r="E819">
        <v>5</v>
      </c>
      <c r="F819" t="s">
        <v>17</v>
      </c>
      <c r="G819" t="s">
        <v>44</v>
      </c>
      <c r="H819" t="s">
        <v>48</v>
      </c>
      <c r="I819" t="s">
        <v>25</v>
      </c>
      <c r="J819">
        <v>0</v>
      </c>
      <c r="K819">
        <v>1</v>
      </c>
      <c r="L819">
        <v>55</v>
      </c>
      <c r="M819">
        <v>1</v>
      </c>
      <c r="N819">
        <v>0</v>
      </c>
      <c r="O819" t="s">
        <v>21</v>
      </c>
      <c r="P819" t="str" cm="1">
        <f t="array" ref="P8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0" spans="1:16">
      <c r="A820">
        <v>9502</v>
      </c>
      <c r="B820" t="s">
        <v>63</v>
      </c>
      <c r="C820" t="s">
        <v>28</v>
      </c>
      <c r="D820">
        <v>239.74</v>
      </c>
      <c r="E820">
        <v>5</v>
      </c>
      <c r="F820" t="s">
        <v>34</v>
      </c>
      <c r="G820" t="s">
        <v>38</v>
      </c>
      <c r="H820" t="s">
        <v>48</v>
      </c>
      <c r="I820" t="s">
        <v>20</v>
      </c>
      <c r="J820">
        <v>0</v>
      </c>
      <c r="K820">
        <v>1</v>
      </c>
      <c r="L820">
        <v>53</v>
      </c>
      <c r="M820">
        <v>2</v>
      </c>
      <c r="N820">
        <v>0</v>
      </c>
      <c r="O820" t="s">
        <v>21</v>
      </c>
      <c r="P820" t="str" cm="1">
        <f t="array" ref="P8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1" spans="1:16">
      <c r="A821">
        <v>6482</v>
      </c>
      <c r="B821" t="s">
        <v>32</v>
      </c>
      <c r="C821" t="s">
        <v>33</v>
      </c>
      <c r="D821">
        <v>118.57</v>
      </c>
      <c r="E821">
        <v>6</v>
      </c>
      <c r="F821" t="s">
        <v>34</v>
      </c>
      <c r="G821" t="s">
        <v>24</v>
      </c>
      <c r="H821" t="s">
        <v>19</v>
      </c>
      <c r="I821" t="s">
        <v>20</v>
      </c>
      <c r="J821">
        <v>0</v>
      </c>
      <c r="K821">
        <v>0</v>
      </c>
      <c r="L821">
        <v>96</v>
      </c>
      <c r="M821">
        <v>3</v>
      </c>
      <c r="N821">
        <v>0</v>
      </c>
      <c r="O821" t="s">
        <v>21</v>
      </c>
      <c r="P821" t="str" cm="1">
        <f t="array" ref="P8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2" spans="1:16">
      <c r="A822">
        <v>5772</v>
      </c>
      <c r="B822" t="s">
        <v>47</v>
      </c>
      <c r="C822" t="s">
        <v>16</v>
      </c>
      <c r="D822">
        <v>229.81</v>
      </c>
      <c r="E822">
        <v>3</v>
      </c>
      <c r="F822" t="s">
        <v>17</v>
      </c>
      <c r="G822" t="s">
        <v>24</v>
      </c>
      <c r="H822" t="s">
        <v>35</v>
      </c>
      <c r="I822" t="s">
        <v>26</v>
      </c>
      <c r="J822">
        <v>0</v>
      </c>
      <c r="K822">
        <v>0</v>
      </c>
      <c r="L822">
        <v>85</v>
      </c>
      <c r="M822">
        <v>8</v>
      </c>
      <c r="N822">
        <v>0</v>
      </c>
      <c r="O822" t="s">
        <v>21</v>
      </c>
      <c r="P822" t="str" cm="1">
        <f t="array" ref="P82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3" spans="1:16">
      <c r="A823">
        <v>4958</v>
      </c>
      <c r="B823" t="s">
        <v>32</v>
      </c>
      <c r="C823" t="s">
        <v>33</v>
      </c>
      <c r="D823">
        <v>181.29</v>
      </c>
      <c r="E823">
        <v>19</v>
      </c>
      <c r="F823" t="s">
        <v>34</v>
      </c>
      <c r="G823" t="s">
        <v>44</v>
      </c>
      <c r="H823" t="s">
        <v>35</v>
      </c>
      <c r="I823" t="s">
        <v>26</v>
      </c>
      <c r="J823">
        <v>0</v>
      </c>
      <c r="K823">
        <v>0</v>
      </c>
      <c r="L823">
        <v>69</v>
      </c>
      <c r="M823">
        <v>0</v>
      </c>
      <c r="N823">
        <v>0</v>
      </c>
      <c r="O823" t="s">
        <v>21</v>
      </c>
      <c r="P823" t="str" cm="1">
        <f t="array" ref="P8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4" spans="1:16">
      <c r="A824">
        <v>7936</v>
      </c>
      <c r="B824" t="s">
        <v>32</v>
      </c>
      <c r="C824" t="s">
        <v>33</v>
      </c>
      <c r="D824">
        <v>23.4</v>
      </c>
      <c r="E824">
        <v>1</v>
      </c>
      <c r="F824" t="s">
        <v>17</v>
      </c>
      <c r="G824" t="s">
        <v>24</v>
      </c>
      <c r="H824" t="s">
        <v>35</v>
      </c>
      <c r="I824" t="s">
        <v>26</v>
      </c>
      <c r="J824">
        <v>0</v>
      </c>
      <c r="K824">
        <v>1</v>
      </c>
      <c r="L824">
        <v>95</v>
      </c>
      <c r="M824">
        <v>5</v>
      </c>
      <c r="N824">
        <v>1</v>
      </c>
      <c r="O824" t="s">
        <v>36</v>
      </c>
      <c r="P824" t="str" cm="1">
        <f t="array" ref="P8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5" spans="1:16">
      <c r="A825">
        <v>8836</v>
      </c>
      <c r="B825" t="s">
        <v>67</v>
      </c>
      <c r="C825" t="s">
        <v>28</v>
      </c>
      <c r="D825">
        <v>7.7</v>
      </c>
      <c r="E825">
        <v>4</v>
      </c>
      <c r="F825" t="s">
        <v>19</v>
      </c>
      <c r="G825" t="s">
        <v>24</v>
      </c>
      <c r="H825" t="s">
        <v>35</v>
      </c>
      <c r="I825" t="s">
        <v>31</v>
      </c>
      <c r="J825">
        <v>0</v>
      </c>
      <c r="K825">
        <v>0</v>
      </c>
      <c r="L825">
        <v>75</v>
      </c>
      <c r="M825">
        <v>0</v>
      </c>
      <c r="N825">
        <v>0</v>
      </c>
      <c r="O825" t="s">
        <v>21</v>
      </c>
      <c r="P825" t="str" cm="1">
        <f t="array" ref="P8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6" spans="1:16">
      <c r="A826">
        <v>8000</v>
      </c>
      <c r="B826" t="s">
        <v>55</v>
      </c>
      <c r="C826" t="s">
        <v>28</v>
      </c>
      <c r="D826">
        <v>19.86</v>
      </c>
      <c r="E826">
        <v>0</v>
      </c>
      <c r="F826" t="s">
        <v>34</v>
      </c>
      <c r="G826" t="s">
        <v>24</v>
      </c>
      <c r="H826" t="s">
        <v>35</v>
      </c>
      <c r="I826" t="s">
        <v>20</v>
      </c>
      <c r="J826">
        <v>0</v>
      </c>
      <c r="K826">
        <v>1</v>
      </c>
      <c r="L826">
        <v>78</v>
      </c>
      <c r="M826">
        <v>7</v>
      </c>
      <c r="N826">
        <v>1</v>
      </c>
      <c r="O826" t="s">
        <v>36</v>
      </c>
      <c r="P826" t="str" cm="1">
        <f t="array" ref="P82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7" spans="1:16">
      <c r="A827">
        <v>520</v>
      </c>
      <c r="B827" t="s">
        <v>49</v>
      </c>
      <c r="C827" t="s">
        <v>16</v>
      </c>
      <c r="D827">
        <v>29.34</v>
      </c>
      <c r="E827">
        <v>14</v>
      </c>
      <c r="F827" t="s">
        <v>34</v>
      </c>
      <c r="G827" t="s">
        <v>24</v>
      </c>
      <c r="H827" t="s">
        <v>48</v>
      </c>
      <c r="I827" t="s">
        <v>20</v>
      </c>
      <c r="J827">
        <v>0</v>
      </c>
      <c r="K827">
        <v>0</v>
      </c>
      <c r="L827">
        <v>66</v>
      </c>
      <c r="M827">
        <v>1</v>
      </c>
      <c r="N827">
        <v>0</v>
      </c>
      <c r="O827" t="s">
        <v>21</v>
      </c>
      <c r="P827" t="str" cm="1">
        <f t="array" ref="P82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8" spans="1:16">
      <c r="A828">
        <v>931</v>
      </c>
      <c r="B828" t="s">
        <v>40</v>
      </c>
      <c r="C828" t="s">
        <v>33</v>
      </c>
      <c r="D828">
        <v>27.01</v>
      </c>
      <c r="E828">
        <v>21</v>
      </c>
      <c r="F828" t="s">
        <v>17</v>
      </c>
      <c r="G828" t="s">
        <v>44</v>
      </c>
      <c r="H828" t="s">
        <v>41</v>
      </c>
      <c r="I828" t="s">
        <v>31</v>
      </c>
      <c r="J828">
        <v>0</v>
      </c>
      <c r="K828">
        <v>0</v>
      </c>
      <c r="L828">
        <v>44</v>
      </c>
      <c r="M828">
        <v>1</v>
      </c>
      <c r="N828">
        <v>0</v>
      </c>
      <c r="O828" t="s">
        <v>21</v>
      </c>
      <c r="P828" t="str" cm="1">
        <f t="array" ref="P8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29" spans="1:16">
      <c r="A829">
        <v>1914</v>
      </c>
      <c r="B829" t="s">
        <v>45</v>
      </c>
      <c r="C829" t="s">
        <v>28</v>
      </c>
      <c r="D829">
        <v>82.68</v>
      </c>
      <c r="E829">
        <v>3</v>
      </c>
      <c r="F829" t="s">
        <v>50</v>
      </c>
      <c r="G829" t="s">
        <v>24</v>
      </c>
      <c r="H829" t="s">
        <v>48</v>
      </c>
      <c r="I829" t="s">
        <v>31</v>
      </c>
      <c r="J829">
        <v>0</v>
      </c>
      <c r="K829">
        <v>0</v>
      </c>
      <c r="L829">
        <v>70</v>
      </c>
      <c r="M829">
        <v>0</v>
      </c>
      <c r="N829">
        <v>0</v>
      </c>
      <c r="O829" t="s">
        <v>21</v>
      </c>
      <c r="P829" t="str" cm="1">
        <f t="array" ref="P8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0" spans="1:16">
      <c r="A830">
        <v>534</v>
      </c>
      <c r="B830" t="s">
        <v>47</v>
      </c>
      <c r="C830" t="s">
        <v>16</v>
      </c>
      <c r="D830">
        <v>145.91999999999999</v>
      </c>
      <c r="E830">
        <v>13</v>
      </c>
      <c r="F830" t="s">
        <v>34</v>
      </c>
      <c r="G830" t="s">
        <v>24</v>
      </c>
      <c r="H830" t="s">
        <v>35</v>
      </c>
      <c r="I830" t="s">
        <v>20</v>
      </c>
      <c r="J830">
        <v>0</v>
      </c>
      <c r="K830">
        <v>0</v>
      </c>
      <c r="L830">
        <v>28</v>
      </c>
      <c r="M830">
        <v>3</v>
      </c>
      <c r="N830">
        <v>0</v>
      </c>
      <c r="O830" t="s">
        <v>21</v>
      </c>
      <c r="P830" t="str" cm="1">
        <f t="array" ref="P8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1" spans="1:16">
      <c r="A831">
        <v>9834</v>
      </c>
      <c r="B831" t="s">
        <v>27</v>
      </c>
      <c r="C831" t="s">
        <v>28</v>
      </c>
      <c r="D831">
        <v>973.32</v>
      </c>
      <c r="E831">
        <v>2</v>
      </c>
      <c r="F831" t="s">
        <v>29</v>
      </c>
      <c r="G831" t="s">
        <v>44</v>
      </c>
      <c r="H831" t="s">
        <v>19</v>
      </c>
      <c r="I831" t="s">
        <v>31</v>
      </c>
      <c r="J831">
        <v>0</v>
      </c>
      <c r="K831">
        <v>0</v>
      </c>
      <c r="L831">
        <v>95</v>
      </c>
      <c r="M831">
        <v>3</v>
      </c>
      <c r="N831">
        <v>0</v>
      </c>
      <c r="O831" t="s">
        <v>21</v>
      </c>
      <c r="P831" t="str" cm="1">
        <f t="array" ref="P831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832" spans="1:16">
      <c r="A832">
        <v>3164</v>
      </c>
      <c r="B832" t="s">
        <v>54</v>
      </c>
      <c r="C832" t="s">
        <v>28</v>
      </c>
      <c r="D832">
        <v>125.72</v>
      </c>
      <c r="E832">
        <v>16</v>
      </c>
      <c r="F832" t="s">
        <v>50</v>
      </c>
      <c r="G832" t="s">
        <v>18</v>
      </c>
      <c r="H832" t="s">
        <v>48</v>
      </c>
      <c r="I832" t="s">
        <v>20</v>
      </c>
      <c r="J832">
        <v>0</v>
      </c>
      <c r="K832">
        <v>1</v>
      </c>
      <c r="L832">
        <v>80</v>
      </c>
      <c r="M832">
        <v>3</v>
      </c>
      <c r="N832">
        <v>0</v>
      </c>
      <c r="O832" t="s">
        <v>21</v>
      </c>
      <c r="P832" t="str" cm="1">
        <f t="array" ref="P8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3" spans="1:16">
      <c r="A833">
        <v>6769</v>
      </c>
      <c r="B833" t="s">
        <v>15</v>
      </c>
      <c r="C833" t="s">
        <v>16</v>
      </c>
      <c r="D833">
        <v>383.6</v>
      </c>
      <c r="E833">
        <v>12</v>
      </c>
      <c r="F833" t="s">
        <v>19</v>
      </c>
      <c r="G833" t="s">
        <v>44</v>
      </c>
      <c r="H833" t="s">
        <v>35</v>
      </c>
      <c r="I833" t="s">
        <v>20</v>
      </c>
      <c r="J833">
        <v>0</v>
      </c>
      <c r="K833">
        <v>0</v>
      </c>
      <c r="L833">
        <v>40</v>
      </c>
      <c r="M833">
        <v>5</v>
      </c>
      <c r="N833">
        <v>0</v>
      </c>
      <c r="O833" t="s">
        <v>21</v>
      </c>
      <c r="P833" t="str" cm="1">
        <f t="array" ref="P8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4" spans="1:16">
      <c r="A834">
        <v>202</v>
      </c>
      <c r="B834" t="s">
        <v>40</v>
      </c>
      <c r="C834" t="s">
        <v>33</v>
      </c>
      <c r="D834">
        <v>15.82</v>
      </c>
      <c r="E834">
        <v>23</v>
      </c>
      <c r="F834" t="s">
        <v>19</v>
      </c>
      <c r="G834" t="s">
        <v>18</v>
      </c>
      <c r="H834" t="s">
        <v>35</v>
      </c>
      <c r="I834" t="s">
        <v>20</v>
      </c>
      <c r="J834">
        <v>0</v>
      </c>
      <c r="K834">
        <v>0</v>
      </c>
      <c r="L834">
        <v>43</v>
      </c>
      <c r="M834">
        <v>2</v>
      </c>
      <c r="N834">
        <v>0</v>
      </c>
      <c r="O834" t="s">
        <v>21</v>
      </c>
      <c r="P834" t="str" cm="1">
        <f t="array" ref="P8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5" spans="1:16">
      <c r="A835">
        <v>7190</v>
      </c>
      <c r="B835" t="s">
        <v>49</v>
      </c>
      <c r="C835" t="s">
        <v>16</v>
      </c>
      <c r="D835">
        <v>167.23</v>
      </c>
      <c r="E835">
        <v>8</v>
      </c>
      <c r="F835" t="s">
        <v>50</v>
      </c>
      <c r="G835" t="s">
        <v>18</v>
      </c>
      <c r="H835" t="s">
        <v>41</v>
      </c>
      <c r="I835" t="s">
        <v>20</v>
      </c>
      <c r="J835">
        <v>0</v>
      </c>
      <c r="K835">
        <v>0</v>
      </c>
      <c r="L835">
        <v>70</v>
      </c>
      <c r="M835">
        <v>1</v>
      </c>
      <c r="N835">
        <v>0</v>
      </c>
      <c r="O835" t="s">
        <v>21</v>
      </c>
      <c r="P835" t="str" cm="1">
        <f t="array" ref="P8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6" spans="1:16">
      <c r="A836">
        <v>1167</v>
      </c>
      <c r="B836" t="s">
        <v>37</v>
      </c>
      <c r="C836" t="s">
        <v>16</v>
      </c>
      <c r="D836">
        <v>321.23</v>
      </c>
      <c r="E836">
        <v>5</v>
      </c>
      <c r="F836" t="s">
        <v>50</v>
      </c>
      <c r="G836" t="s">
        <v>24</v>
      </c>
      <c r="H836" t="s">
        <v>35</v>
      </c>
      <c r="I836" t="s">
        <v>20</v>
      </c>
      <c r="J836">
        <v>0</v>
      </c>
      <c r="K836">
        <v>0</v>
      </c>
      <c r="L836">
        <v>35</v>
      </c>
      <c r="M836">
        <v>0</v>
      </c>
      <c r="N836">
        <v>0</v>
      </c>
      <c r="O836" t="s">
        <v>21</v>
      </c>
      <c r="P836" t="str" cm="1">
        <f t="array" ref="P8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7" spans="1:16">
      <c r="A837">
        <v>9920</v>
      </c>
      <c r="B837" t="s">
        <v>40</v>
      </c>
      <c r="C837" t="s">
        <v>33</v>
      </c>
      <c r="D837">
        <v>102.43</v>
      </c>
      <c r="E837">
        <v>6</v>
      </c>
      <c r="F837" t="s">
        <v>17</v>
      </c>
      <c r="G837" t="s">
        <v>24</v>
      </c>
      <c r="H837" t="s">
        <v>41</v>
      </c>
      <c r="I837" t="s">
        <v>20</v>
      </c>
      <c r="J837">
        <v>0</v>
      </c>
      <c r="K837">
        <v>0</v>
      </c>
      <c r="L837">
        <v>71</v>
      </c>
      <c r="M837">
        <v>1</v>
      </c>
      <c r="N837">
        <v>0</v>
      </c>
      <c r="O837" t="s">
        <v>21</v>
      </c>
      <c r="P837" t="str" cm="1">
        <f t="array" ref="P8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8" spans="1:16">
      <c r="A838">
        <v>9220</v>
      </c>
      <c r="B838" t="s">
        <v>47</v>
      </c>
      <c r="C838" t="s">
        <v>16</v>
      </c>
      <c r="D838">
        <v>24.55</v>
      </c>
      <c r="E838">
        <v>8</v>
      </c>
      <c r="F838" t="s">
        <v>19</v>
      </c>
      <c r="G838" t="s">
        <v>44</v>
      </c>
      <c r="H838" t="s">
        <v>48</v>
      </c>
      <c r="I838" t="s">
        <v>31</v>
      </c>
      <c r="J838">
        <v>0</v>
      </c>
      <c r="K838">
        <v>0</v>
      </c>
      <c r="L838">
        <v>81</v>
      </c>
      <c r="M838">
        <v>3</v>
      </c>
      <c r="N838">
        <v>0</v>
      </c>
      <c r="O838" t="s">
        <v>21</v>
      </c>
      <c r="P838" t="str" cm="1">
        <f t="array" ref="P8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39" spans="1:16">
      <c r="A839">
        <v>8559</v>
      </c>
      <c r="B839" t="s">
        <v>61</v>
      </c>
      <c r="C839" t="s">
        <v>28</v>
      </c>
      <c r="D839">
        <v>266.14</v>
      </c>
      <c r="E839">
        <v>8</v>
      </c>
      <c r="F839" t="s">
        <v>50</v>
      </c>
      <c r="G839" t="s">
        <v>44</v>
      </c>
      <c r="H839" t="s">
        <v>35</v>
      </c>
      <c r="I839" t="s">
        <v>26</v>
      </c>
      <c r="J839">
        <v>1</v>
      </c>
      <c r="K839">
        <v>0</v>
      </c>
      <c r="L839">
        <v>28</v>
      </c>
      <c r="M839">
        <v>5</v>
      </c>
      <c r="N839">
        <v>1</v>
      </c>
      <c r="O839" t="s">
        <v>36</v>
      </c>
      <c r="P839" t="str" cm="1">
        <f t="array" ref="P8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0" spans="1:16">
      <c r="A840">
        <v>5796</v>
      </c>
      <c r="B840" t="s">
        <v>60</v>
      </c>
      <c r="C840" t="s">
        <v>23</v>
      </c>
      <c r="D840">
        <v>285.35000000000002</v>
      </c>
      <c r="E840">
        <v>11</v>
      </c>
      <c r="F840" t="s">
        <v>50</v>
      </c>
      <c r="G840" t="s">
        <v>44</v>
      </c>
      <c r="H840" t="s">
        <v>19</v>
      </c>
      <c r="I840" t="s">
        <v>20</v>
      </c>
      <c r="J840">
        <v>0</v>
      </c>
      <c r="K840">
        <v>0</v>
      </c>
      <c r="L840">
        <v>29</v>
      </c>
      <c r="M840">
        <v>2</v>
      </c>
      <c r="N840">
        <v>0</v>
      </c>
      <c r="O840" t="s">
        <v>21</v>
      </c>
      <c r="P840" t="str" cm="1">
        <f t="array" ref="P8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1" spans="1:16">
      <c r="A841">
        <v>934</v>
      </c>
      <c r="B841" t="s">
        <v>46</v>
      </c>
      <c r="C841" t="s">
        <v>23</v>
      </c>
      <c r="D841">
        <v>134.26</v>
      </c>
      <c r="E841">
        <v>15</v>
      </c>
      <c r="F841" t="s">
        <v>34</v>
      </c>
      <c r="G841" t="s">
        <v>38</v>
      </c>
      <c r="H841" t="s">
        <v>35</v>
      </c>
      <c r="I841" t="s">
        <v>20</v>
      </c>
      <c r="J841">
        <v>0</v>
      </c>
      <c r="K841">
        <v>0</v>
      </c>
      <c r="L841">
        <v>45</v>
      </c>
      <c r="M841">
        <v>1</v>
      </c>
      <c r="N841">
        <v>0</v>
      </c>
      <c r="O841" t="s">
        <v>21</v>
      </c>
      <c r="P841" t="str" cm="1">
        <f t="array" ref="P8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2" spans="1:16">
      <c r="A842">
        <v>9409</v>
      </c>
      <c r="B842" t="s">
        <v>39</v>
      </c>
      <c r="C842" t="s">
        <v>28</v>
      </c>
      <c r="D842">
        <v>39.9</v>
      </c>
      <c r="E842">
        <v>8</v>
      </c>
      <c r="F842" t="s">
        <v>17</v>
      </c>
      <c r="G842" t="s">
        <v>18</v>
      </c>
      <c r="H842" t="s">
        <v>35</v>
      </c>
      <c r="I842" t="s">
        <v>20</v>
      </c>
      <c r="J842">
        <v>0</v>
      </c>
      <c r="K842">
        <v>0</v>
      </c>
      <c r="L842">
        <v>95</v>
      </c>
      <c r="M842">
        <v>3</v>
      </c>
      <c r="N842">
        <v>0</v>
      </c>
      <c r="O842" t="s">
        <v>21</v>
      </c>
      <c r="P842" t="str" cm="1">
        <f t="array" ref="P8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3" spans="1:16">
      <c r="A843">
        <v>6651</v>
      </c>
      <c r="B843" t="s">
        <v>39</v>
      </c>
      <c r="C843" t="s">
        <v>28</v>
      </c>
      <c r="D843">
        <v>16.73</v>
      </c>
      <c r="E843">
        <v>15</v>
      </c>
      <c r="F843" t="s">
        <v>19</v>
      </c>
      <c r="G843" t="s">
        <v>24</v>
      </c>
      <c r="H843" t="s">
        <v>25</v>
      </c>
      <c r="I843" t="s">
        <v>20</v>
      </c>
      <c r="J843">
        <v>0</v>
      </c>
      <c r="K843">
        <v>0</v>
      </c>
      <c r="L843">
        <v>39</v>
      </c>
      <c r="M843">
        <v>1</v>
      </c>
      <c r="N843">
        <v>0</v>
      </c>
      <c r="O843" t="s">
        <v>21</v>
      </c>
      <c r="P843" t="str" cm="1">
        <f t="array" ref="P8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4" spans="1:16">
      <c r="A844">
        <v>9045</v>
      </c>
      <c r="B844" t="s">
        <v>47</v>
      </c>
      <c r="C844" t="s">
        <v>16</v>
      </c>
      <c r="D844">
        <v>109.63</v>
      </c>
      <c r="E844">
        <v>20</v>
      </c>
      <c r="F844" t="s">
        <v>50</v>
      </c>
      <c r="G844" t="s">
        <v>44</v>
      </c>
      <c r="H844" t="s">
        <v>41</v>
      </c>
      <c r="I844" t="s">
        <v>31</v>
      </c>
      <c r="J844">
        <v>0</v>
      </c>
      <c r="K844">
        <v>0</v>
      </c>
      <c r="L844">
        <v>57</v>
      </c>
      <c r="M844">
        <v>0</v>
      </c>
      <c r="N844">
        <v>0</v>
      </c>
      <c r="O844" t="s">
        <v>21</v>
      </c>
      <c r="P844" t="str" cm="1">
        <f t="array" ref="P8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5" spans="1:16">
      <c r="A845">
        <v>248</v>
      </c>
      <c r="B845" t="s">
        <v>37</v>
      </c>
      <c r="C845" t="s">
        <v>16</v>
      </c>
      <c r="D845">
        <v>612.15</v>
      </c>
      <c r="E845">
        <v>6</v>
      </c>
      <c r="F845" t="s">
        <v>17</v>
      </c>
      <c r="G845" t="s">
        <v>18</v>
      </c>
      <c r="H845" t="s">
        <v>35</v>
      </c>
      <c r="I845" t="s">
        <v>20</v>
      </c>
      <c r="J845">
        <v>0</v>
      </c>
      <c r="K845">
        <v>0</v>
      </c>
      <c r="L845">
        <v>78</v>
      </c>
      <c r="M845">
        <v>3</v>
      </c>
      <c r="N845">
        <v>0</v>
      </c>
      <c r="O845" t="s">
        <v>21</v>
      </c>
      <c r="P845" t="str" cm="1">
        <f t="array" ref="P845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846" spans="1:16">
      <c r="A846">
        <v>7746</v>
      </c>
      <c r="B846" t="s">
        <v>60</v>
      </c>
      <c r="C846" t="s">
        <v>23</v>
      </c>
      <c r="D846">
        <v>164.68</v>
      </c>
      <c r="E846">
        <v>16</v>
      </c>
      <c r="F846" t="s">
        <v>17</v>
      </c>
      <c r="G846" t="s">
        <v>24</v>
      </c>
      <c r="H846" t="s">
        <v>35</v>
      </c>
      <c r="I846" t="s">
        <v>20</v>
      </c>
      <c r="J846">
        <v>0</v>
      </c>
      <c r="K846">
        <v>0</v>
      </c>
      <c r="L846">
        <v>87</v>
      </c>
      <c r="M846">
        <v>0</v>
      </c>
      <c r="N846">
        <v>0</v>
      </c>
      <c r="O846" t="s">
        <v>21</v>
      </c>
      <c r="P846" t="str" cm="1">
        <f t="array" ref="P8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7" spans="1:16">
      <c r="A847">
        <v>7911</v>
      </c>
      <c r="B847" t="s">
        <v>60</v>
      </c>
      <c r="C847" t="s">
        <v>23</v>
      </c>
      <c r="D847">
        <v>382.63</v>
      </c>
      <c r="E847">
        <v>13</v>
      </c>
      <c r="F847" t="s">
        <v>50</v>
      </c>
      <c r="G847" t="s">
        <v>24</v>
      </c>
      <c r="H847" t="s">
        <v>35</v>
      </c>
      <c r="I847" t="s">
        <v>31</v>
      </c>
      <c r="J847">
        <v>0</v>
      </c>
      <c r="K847">
        <v>0</v>
      </c>
      <c r="L847">
        <v>98</v>
      </c>
      <c r="M847">
        <v>0</v>
      </c>
      <c r="N847">
        <v>0</v>
      </c>
      <c r="O847" t="s">
        <v>21</v>
      </c>
      <c r="P847" t="str" cm="1">
        <f t="array" ref="P8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8" spans="1:16">
      <c r="A848">
        <v>5288</v>
      </c>
      <c r="B848" t="s">
        <v>54</v>
      </c>
      <c r="C848" t="s">
        <v>28</v>
      </c>
      <c r="D848">
        <v>9.27</v>
      </c>
      <c r="E848">
        <v>2</v>
      </c>
      <c r="F848" t="s">
        <v>50</v>
      </c>
      <c r="G848" t="s">
        <v>24</v>
      </c>
      <c r="H848" t="s">
        <v>35</v>
      </c>
      <c r="I848" t="s">
        <v>20</v>
      </c>
      <c r="J848">
        <v>0</v>
      </c>
      <c r="K848">
        <v>0</v>
      </c>
      <c r="L848">
        <v>41</v>
      </c>
      <c r="M848">
        <v>2</v>
      </c>
      <c r="N848">
        <v>0</v>
      </c>
      <c r="O848" t="s">
        <v>21</v>
      </c>
      <c r="P848" t="str" cm="1">
        <f t="array" ref="P8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49" spans="1:16">
      <c r="A849">
        <v>4281</v>
      </c>
      <c r="B849" t="s">
        <v>32</v>
      </c>
      <c r="C849" t="s">
        <v>33</v>
      </c>
      <c r="D849">
        <v>31.95</v>
      </c>
      <c r="E849">
        <v>2</v>
      </c>
      <c r="F849" t="s">
        <v>34</v>
      </c>
      <c r="G849" t="s">
        <v>44</v>
      </c>
      <c r="H849" t="s">
        <v>41</v>
      </c>
      <c r="I849" t="s">
        <v>25</v>
      </c>
      <c r="J849">
        <v>0</v>
      </c>
      <c r="K849">
        <v>0</v>
      </c>
      <c r="L849">
        <v>81</v>
      </c>
      <c r="M849">
        <v>1</v>
      </c>
      <c r="N849">
        <v>0</v>
      </c>
      <c r="O849" t="s">
        <v>21</v>
      </c>
      <c r="P849" t="str" cm="1">
        <f t="array" ref="P8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0" spans="1:16">
      <c r="A850">
        <v>8150</v>
      </c>
      <c r="B850" t="s">
        <v>27</v>
      </c>
      <c r="C850" t="s">
        <v>28</v>
      </c>
      <c r="D850">
        <v>52.32</v>
      </c>
      <c r="E850">
        <v>3</v>
      </c>
      <c r="F850" t="s">
        <v>50</v>
      </c>
      <c r="G850" t="s">
        <v>38</v>
      </c>
      <c r="H850" t="s">
        <v>19</v>
      </c>
      <c r="I850" t="s">
        <v>20</v>
      </c>
      <c r="J850">
        <v>0</v>
      </c>
      <c r="K850">
        <v>0</v>
      </c>
      <c r="L850">
        <v>94</v>
      </c>
      <c r="M850">
        <v>2</v>
      </c>
      <c r="N850">
        <v>0</v>
      </c>
      <c r="O850" t="s">
        <v>21</v>
      </c>
      <c r="P850" t="str" cm="1">
        <f t="array" ref="P8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1" spans="1:16">
      <c r="A851">
        <v>7186</v>
      </c>
      <c r="B851" t="s">
        <v>59</v>
      </c>
      <c r="C851" t="s">
        <v>16</v>
      </c>
      <c r="D851">
        <v>459.7</v>
      </c>
      <c r="E851">
        <v>14</v>
      </c>
      <c r="F851" t="s">
        <v>50</v>
      </c>
      <c r="G851" t="s">
        <v>24</v>
      </c>
      <c r="H851" t="s">
        <v>30</v>
      </c>
      <c r="I851" t="s">
        <v>20</v>
      </c>
      <c r="J851">
        <v>0</v>
      </c>
      <c r="K851">
        <v>0</v>
      </c>
      <c r="L851">
        <v>45</v>
      </c>
      <c r="M851">
        <v>2</v>
      </c>
      <c r="N851">
        <v>0</v>
      </c>
      <c r="O851" t="s">
        <v>21</v>
      </c>
      <c r="P851" t="str" cm="1">
        <f t="array" ref="P8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2" spans="1:16">
      <c r="A852">
        <v>6176</v>
      </c>
      <c r="B852" t="s">
        <v>64</v>
      </c>
      <c r="C852" t="s">
        <v>23</v>
      </c>
      <c r="D852">
        <v>134.76</v>
      </c>
      <c r="E852">
        <v>0</v>
      </c>
      <c r="F852" t="s">
        <v>29</v>
      </c>
      <c r="G852" t="s">
        <v>24</v>
      </c>
      <c r="H852" t="s">
        <v>48</v>
      </c>
      <c r="I852" t="s">
        <v>25</v>
      </c>
      <c r="J852">
        <v>1</v>
      </c>
      <c r="K852">
        <v>0</v>
      </c>
      <c r="L852">
        <v>32</v>
      </c>
      <c r="M852">
        <v>4</v>
      </c>
      <c r="N852">
        <v>1</v>
      </c>
      <c r="O852" t="s">
        <v>36</v>
      </c>
      <c r="P852" t="str" cm="1">
        <f t="array" ref="P8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3" spans="1:16">
      <c r="A853">
        <v>1370</v>
      </c>
      <c r="B853" t="s">
        <v>22</v>
      </c>
      <c r="C853" t="s">
        <v>23</v>
      </c>
      <c r="D853">
        <v>48.82</v>
      </c>
      <c r="E853">
        <v>9</v>
      </c>
      <c r="F853" t="s">
        <v>34</v>
      </c>
      <c r="G853" t="s">
        <v>24</v>
      </c>
      <c r="H853" t="s">
        <v>41</v>
      </c>
      <c r="I853" t="s">
        <v>31</v>
      </c>
      <c r="J853">
        <v>0</v>
      </c>
      <c r="K853">
        <v>0</v>
      </c>
      <c r="L853">
        <v>96</v>
      </c>
      <c r="M853">
        <v>3</v>
      </c>
      <c r="N853">
        <v>0</v>
      </c>
      <c r="O853" t="s">
        <v>21</v>
      </c>
      <c r="P853" t="str" cm="1">
        <f t="array" ref="P8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4" spans="1:16">
      <c r="A854">
        <v>5433</v>
      </c>
      <c r="B854" t="s">
        <v>40</v>
      </c>
      <c r="C854" t="s">
        <v>33</v>
      </c>
      <c r="D854">
        <v>203.35</v>
      </c>
      <c r="E854">
        <v>2</v>
      </c>
      <c r="F854" t="s">
        <v>17</v>
      </c>
      <c r="G854" t="s">
        <v>53</v>
      </c>
      <c r="H854" t="s">
        <v>35</v>
      </c>
      <c r="I854" t="s">
        <v>20</v>
      </c>
      <c r="J854">
        <v>0</v>
      </c>
      <c r="K854">
        <v>0</v>
      </c>
      <c r="L854">
        <v>31</v>
      </c>
      <c r="M854">
        <v>2</v>
      </c>
      <c r="N854">
        <v>0</v>
      </c>
      <c r="O854" t="s">
        <v>21</v>
      </c>
      <c r="P854" t="str" cm="1">
        <f t="array" ref="P8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5" spans="1:16">
      <c r="A855">
        <v>9898</v>
      </c>
      <c r="B855" t="s">
        <v>15</v>
      </c>
      <c r="C855" t="s">
        <v>16</v>
      </c>
      <c r="D855">
        <v>205</v>
      </c>
      <c r="E855">
        <v>18</v>
      </c>
      <c r="F855" t="s">
        <v>29</v>
      </c>
      <c r="G855" t="s">
        <v>24</v>
      </c>
      <c r="H855" t="s">
        <v>35</v>
      </c>
      <c r="I855" t="s">
        <v>20</v>
      </c>
      <c r="J855">
        <v>0</v>
      </c>
      <c r="K855">
        <v>0</v>
      </c>
      <c r="L855">
        <v>78</v>
      </c>
      <c r="M855">
        <v>3</v>
      </c>
      <c r="N855">
        <v>0</v>
      </c>
      <c r="O855" t="s">
        <v>21</v>
      </c>
      <c r="P855" t="str" cm="1">
        <f t="array" ref="P8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6" spans="1:16">
      <c r="A856">
        <v>2290</v>
      </c>
      <c r="B856" t="s">
        <v>47</v>
      </c>
      <c r="C856" t="s">
        <v>16</v>
      </c>
      <c r="D856">
        <v>39.29</v>
      </c>
      <c r="E856">
        <v>2</v>
      </c>
      <c r="F856" t="s">
        <v>29</v>
      </c>
      <c r="G856" t="s">
        <v>24</v>
      </c>
      <c r="H856" t="s">
        <v>35</v>
      </c>
      <c r="I856" t="s">
        <v>31</v>
      </c>
      <c r="J856">
        <v>0</v>
      </c>
      <c r="K856">
        <v>1</v>
      </c>
      <c r="L856">
        <v>28</v>
      </c>
      <c r="M856">
        <v>1</v>
      </c>
      <c r="N856">
        <v>1</v>
      </c>
      <c r="O856" t="s">
        <v>36</v>
      </c>
      <c r="P856" t="str" cm="1">
        <f t="array" ref="P8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7" spans="1:16">
      <c r="A857">
        <v>8449</v>
      </c>
      <c r="B857" t="s">
        <v>15</v>
      </c>
      <c r="C857" t="s">
        <v>16</v>
      </c>
      <c r="D857">
        <v>22.49</v>
      </c>
      <c r="E857">
        <v>4</v>
      </c>
      <c r="F857" t="s">
        <v>50</v>
      </c>
      <c r="G857" t="s">
        <v>18</v>
      </c>
      <c r="H857" t="s">
        <v>19</v>
      </c>
      <c r="I857" t="s">
        <v>31</v>
      </c>
      <c r="J857">
        <v>0</v>
      </c>
      <c r="K857">
        <v>0</v>
      </c>
      <c r="L857">
        <v>49</v>
      </c>
      <c r="M857">
        <v>3</v>
      </c>
      <c r="N857">
        <v>0</v>
      </c>
      <c r="O857" t="s">
        <v>21</v>
      </c>
      <c r="P857" t="str" cm="1">
        <f t="array" ref="P8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8" spans="1:16">
      <c r="A858">
        <v>4518</v>
      </c>
      <c r="B858" t="s">
        <v>15</v>
      </c>
      <c r="C858" t="s">
        <v>16</v>
      </c>
      <c r="D858">
        <v>408.4</v>
      </c>
      <c r="E858">
        <v>1</v>
      </c>
      <c r="F858" t="s">
        <v>29</v>
      </c>
      <c r="G858" t="s">
        <v>18</v>
      </c>
      <c r="H858" t="s">
        <v>25</v>
      </c>
      <c r="I858" t="s">
        <v>20</v>
      </c>
      <c r="J858">
        <v>0</v>
      </c>
      <c r="K858">
        <v>0</v>
      </c>
      <c r="L858">
        <v>27</v>
      </c>
      <c r="M858">
        <v>6</v>
      </c>
      <c r="N858">
        <v>1</v>
      </c>
      <c r="O858" t="s">
        <v>36</v>
      </c>
      <c r="P858" t="str" cm="1">
        <f t="array" ref="P8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59" spans="1:16">
      <c r="A859">
        <v>5543</v>
      </c>
      <c r="B859" t="s">
        <v>27</v>
      </c>
      <c r="C859" t="s">
        <v>28</v>
      </c>
      <c r="D859">
        <v>364.49</v>
      </c>
      <c r="E859">
        <v>13</v>
      </c>
      <c r="F859" t="s">
        <v>50</v>
      </c>
      <c r="G859" t="s">
        <v>24</v>
      </c>
      <c r="H859" t="s">
        <v>48</v>
      </c>
      <c r="I859" t="s">
        <v>20</v>
      </c>
      <c r="J859">
        <v>0</v>
      </c>
      <c r="K859">
        <v>0</v>
      </c>
      <c r="L859">
        <v>93</v>
      </c>
      <c r="M859">
        <v>2</v>
      </c>
      <c r="N859">
        <v>0</v>
      </c>
      <c r="O859" t="s">
        <v>21</v>
      </c>
      <c r="P859" t="str" cm="1">
        <f t="array" ref="P8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0" spans="1:16">
      <c r="A860">
        <v>3923</v>
      </c>
      <c r="B860" t="s">
        <v>49</v>
      </c>
      <c r="C860" t="s">
        <v>16</v>
      </c>
      <c r="D860">
        <v>275.26</v>
      </c>
      <c r="E860">
        <v>3</v>
      </c>
      <c r="F860" t="s">
        <v>29</v>
      </c>
      <c r="G860" t="s">
        <v>53</v>
      </c>
      <c r="H860" t="s">
        <v>35</v>
      </c>
      <c r="I860" t="s">
        <v>20</v>
      </c>
      <c r="J860">
        <v>1</v>
      </c>
      <c r="K860">
        <v>0</v>
      </c>
      <c r="L860">
        <v>31</v>
      </c>
      <c r="M860">
        <v>2</v>
      </c>
      <c r="N860">
        <v>1</v>
      </c>
      <c r="O860" t="s">
        <v>36</v>
      </c>
      <c r="P860" t="str" cm="1">
        <f t="array" ref="P8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1" spans="1:16">
      <c r="A861">
        <v>5747</v>
      </c>
      <c r="B861" t="s">
        <v>22</v>
      </c>
      <c r="C861" t="s">
        <v>23</v>
      </c>
      <c r="D861">
        <v>201.92</v>
      </c>
      <c r="E861">
        <v>11</v>
      </c>
      <c r="F861" t="s">
        <v>17</v>
      </c>
      <c r="G861" t="s">
        <v>24</v>
      </c>
      <c r="H861" t="s">
        <v>25</v>
      </c>
      <c r="I861" t="s">
        <v>31</v>
      </c>
      <c r="J861">
        <v>0</v>
      </c>
      <c r="K861">
        <v>1</v>
      </c>
      <c r="L861">
        <v>81</v>
      </c>
      <c r="M861">
        <v>1</v>
      </c>
      <c r="N861">
        <v>0</v>
      </c>
      <c r="O861" t="s">
        <v>21</v>
      </c>
      <c r="P861" t="str" cm="1">
        <f t="array" ref="P8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2" spans="1:16">
      <c r="A862">
        <v>8834</v>
      </c>
      <c r="B862" t="s">
        <v>22</v>
      </c>
      <c r="C862" t="s">
        <v>23</v>
      </c>
      <c r="D862">
        <v>128.97</v>
      </c>
      <c r="E862">
        <v>21</v>
      </c>
      <c r="F862" t="s">
        <v>17</v>
      </c>
      <c r="G862" t="s">
        <v>53</v>
      </c>
      <c r="H862" t="s">
        <v>35</v>
      </c>
      <c r="I862" t="s">
        <v>25</v>
      </c>
      <c r="J862">
        <v>0</v>
      </c>
      <c r="K862">
        <v>0</v>
      </c>
      <c r="L862">
        <v>98</v>
      </c>
      <c r="M862">
        <v>1</v>
      </c>
      <c r="N862">
        <v>0</v>
      </c>
      <c r="O862" t="s">
        <v>21</v>
      </c>
      <c r="P862" t="str" cm="1">
        <f t="array" ref="P8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3" spans="1:16">
      <c r="A863">
        <v>6835</v>
      </c>
      <c r="B863" t="s">
        <v>22</v>
      </c>
      <c r="C863" t="s">
        <v>23</v>
      </c>
      <c r="D863">
        <v>422.03</v>
      </c>
      <c r="E863">
        <v>7</v>
      </c>
      <c r="F863" t="s">
        <v>34</v>
      </c>
      <c r="G863" t="s">
        <v>24</v>
      </c>
      <c r="H863" t="s">
        <v>41</v>
      </c>
      <c r="I863" t="s">
        <v>20</v>
      </c>
      <c r="J863">
        <v>0</v>
      </c>
      <c r="K863">
        <v>0</v>
      </c>
      <c r="L863">
        <v>50</v>
      </c>
      <c r="M863">
        <v>2</v>
      </c>
      <c r="N863">
        <v>0</v>
      </c>
      <c r="O863" t="s">
        <v>21</v>
      </c>
      <c r="P863" t="str" cm="1">
        <f t="array" ref="P8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4" spans="1:16">
      <c r="A864">
        <v>1852</v>
      </c>
      <c r="B864" t="s">
        <v>27</v>
      </c>
      <c r="C864" t="s">
        <v>28</v>
      </c>
      <c r="D864">
        <v>304.66000000000003</v>
      </c>
      <c r="E864">
        <v>20</v>
      </c>
      <c r="F864" t="s">
        <v>17</v>
      </c>
      <c r="G864" t="s">
        <v>44</v>
      </c>
      <c r="H864" t="s">
        <v>19</v>
      </c>
      <c r="I864" t="s">
        <v>31</v>
      </c>
      <c r="J864">
        <v>0</v>
      </c>
      <c r="K864">
        <v>0</v>
      </c>
      <c r="L864">
        <v>47</v>
      </c>
      <c r="M864">
        <v>4</v>
      </c>
      <c r="N864">
        <v>0</v>
      </c>
      <c r="O864" t="s">
        <v>21</v>
      </c>
      <c r="P864" t="str" cm="1">
        <f t="array" ref="P8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5" spans="1:16">
      <c r="A865">
        <v>727</v>
      </c>
      <c r="B865" t="s">
        <v>63</v>
      </c>
      <c r="C865" t="s">
        <v>28</v>
      </c>
      <c r="D865">
        <v>27.1</v>
      </c>
      <c r="E865">
        <v>13</v>
      </c>
      <c r="F865" t="s">
        <v>19</v>
      </c>
      <c r="G865" t="s">
        <v>24</v>
      </c>
      <c r="H865" t="s">
        <v>35</v>
      </c>
      <c r="I865" t="s">
        <v>20</v>
      </c>
      <c r="J865">
        <v>0</v>
      </c>
      <c r="K865">
        <v>0</v>
      </c>
      <c r="L865">
        <v>80</v>
      </c>
      <c r="M865">
        <v>3</v>
      </c>
      <c r="N865">
        <v>0</v>
      </c>
      <c r="O865" t="s">
        <v>21</v>
      </c>
      <c r="P865" t="str" cm="1">
        <f t="array" ref="P8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6" spans="1:16">
      <c r="A866">
        <v>1896</v>
      </c>
      <c r="B866" t="s">
        <v>49</v>
      </c>
      <c r="C866" t="s">
        <v>16</v>
      </c>
      <c r="D866">
        <v>237.74</v>
      </c>
      <c r="E866">
        <v>14</v>
      </c>
      <c r="F866" t="s">
        <v>17</v>
      </c>
      <c r="G866" t="s">
        <v>24</v>
      </c>
      <c r="H866" t="s">
        <v>19</v>
      </c>
      <c r="I866" t="s">
        <v>31</v>
      </c>
      <c r="J866">
        <v>0</v>
      </c>
      <c r="K866">
        <v>0</v>
      </c>
      <c r="L866">
        <v>34</v>
      </c>
      <c r="M866">
        <v>0</v>
      </c>
      <c r="N866">
        <v>0</v>
      </c>
      <c r="O866" t="s">
        <v>21</v>
      </c>
      <c r="P866" t="str" cm="1">
        <f t="array" ref="P8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7" spans="1:16">
      <c r="A867">
        <v>3659</v>
      </c>
      <c r="B867" t="s">
        <v>39</v>
      </c>
      <c r="C867" t="s">
        <v>28</v>
      </c>
      <c r="D867">
        <v>171.87</v>
      </c>
      <c r="E867">
        <v>0</v>
      </c>
      <c r="F867" t="s">
        <v>29</v>
      </c>
      <c r="G867" t="s">
        <v>44</v>
      </c>
      <c r="H867" t="s">
        <v>35</v>
      </c>
      <c r="I867" t="s">
        <v>26</v>
      </c>
      <c r="J867">
        <v>0</v>
      </c>
      <c r="K867">
        <v>0</v>
      </c>
      <c r="L867">
        <v>31</v>
      </c>
      <c r="M867">
        <v>6</v>
      </c>
      <c r="N867">
        <v>1</v>
      </c>
      <c r="O867" t="s">
        <v>36</v>
      </c>
      <c r="P867" t="str" cm="1">
        <f t="array" ref="P8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8" spans="1:16">
      <c r="A868">
        <v>4606</v>
      </c>
      <c r="B868" t="s">
        <v>63</v>
      </c>
      <c r="C868" t="s">
        <v>28</v>
      </c>
      <c r="D868">
        <v>409.14</v>
      </c>
      <c r="E868">
        <v>21</v>
      </c>
      <c r="F868" t="s">
        <v>17</v>
      </c>
      <c r="G868" t="s">
        <v>53</v>
      </c>
      <c r="H868" t="s">
        <v>30</v>
      </c>
      <c r="I868" t="s">
        <v>20</v>
      </c>
      <c r="J868">
        <v>0</v>
      </c>
      <c r="K868">
        <v>0</v>
      </c>
      <c r="L868">
        <v>26</v>
      </c>
      <c r="M868">
        <v>0</v>
      </c>
      <c r="N868">
        <v>0</v>
      </c>
      <c r="O868" t="s">
        <v>21</v>
      </c>
      <c r="P868" t="str" cm="1">
        <f t="array" ref="P8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69" spans="1:16">
      <c r="A869">
        <v>7284</v>
      </c>
      <c r="B869" t="s">
        <v>15</v>
      </c>
      <c r="C869" t="s">
        <v>16</v>
      </c>
      <c r="D869">
        <v>175.38</v>
      </c>
      <c r="E869">
        <v>22</v>
      </c>
      <c r="F869" t="s">
        <v>50</v>
      </c>
      <c r="G869" t="s">
        <v>24</v>
      </c>
      <c r="H869" t="s">
        <v>41</v>
      </c>
      <c r="I869" t="s">
        <v>20</v>
      </c>
      <c r="J869">
        <v>0</v>
      </c>
      <c r="K869">
        <v>0</v>
      </c>
      <c r="L869">
        <v>68</v>
      </c>
      <c r="M869">
        <v>2</v>
      </c>
      <c r="N869">
        <v>0</v>
      </c>
      <c r="O869" t="s">
        <v>21</v>
      </c>
      <c r="P869" t="str" cm="1">
        <f t="array" ref="P8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0" spans="1:16">
      <c r="A870">
        <v>5777</v>
      </c>
      <c r="B870" t="s">
        <v>56</v>
      </c>
      <c r="C870" t="s">
        <v>52</v>
      </c>
      <c r="D870">
        <v>177.39</v>
      </c>
      <c r="E870">
        <v>1</v>
      </c>
      <c r="F870" t="s">
        <v>19</v>
      </c>
      <c r="G870" t="s">
        <v>24</v>
      </c>
      <c r="H870" t="s">
        <v>48</v>
      </c>
      <c r="I870" t="s">
        <v>20</v>
      </c>
      <c r="J870">
        <v>1</v>
      </c>
      <c r="K870">
        <v>0</v>
      </c>
      <c r="L870">
        <v>32</v>
      </c>
      <c r="M870">
        <v>5</v>
      </c>
      <c r="N870">
        <v>1</v>
      </c>
      <c r="O870" t="s">
        <v>36</v>
      </c>
      <c r="P870" t="str" cm="1">
        <f t="array" ref="P8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1" spans="1:16">
      <c r="A871">
        <v>5875</v>
      </c>
      <c r="B871" t="s">
        <v>15</v>
      </c>
      <c r="C871" t="s">
        <v>16</v>
      </c>
      <c r="D871">
        <v>96.7</v>
      </c>
      <c r="E871">
        <v>1</v>
      </c>
      <c r="F871" t="s">
        <v>50</v>
      </c>
      <c r="G871" t="s">
        <v>53</v>
      </c>
      <c r="H871" t="s">
        <v>19</v>
      </c>
      <c r="I871" t="s">
        <v>20</v>
      </c>
      <c r="J871">
        <v>0</v>
      </c>
      <c r="K871">
        <v>0</v>
      </c>
      <c r="L871">
        <v>47</v>
      </c>
      <c r="M871">
        <v>2</v>
      </c>
      <c r="N871">
        <v>0</v>
      </c>
      <c r="O871" t="s">
        <v>21</v>
      </c>
      <c r="P871" t="str" cm="1">
        <f t="array" ref="P8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2" spans="1:16">
      <c r="A872">
        <v>2872</v>
      </c>
      <c r="B872" t="s">
        <v>49</v>
      </c>
      <c r="C872" t="s">
        <v>16</v>
      </c>
      <c r="D872">
        <v>526.91</v>
      </c>
      <c r="E872">
        <v>14</v>
      </c>
      <c r="F872" t="s">
        <v>17</v>
      </c>
      <c r="G872" t="s">
        <v>53</v>
      </c>
      <c r="H872" t="s">
        <v>41</v>
      </c>
      <c r="I872" t="s">
        <v>20</v>
      </c>
      <c r="J872">
        <v>0</v>
      </c>
      <c r="K872">
        <v>0</v>
      </c>
      <c r="L872">
        <v>30</v>
      </c>
      <c r="M872">
        <v>1</v>
      </c>
      <c r="N872">
        <v>0</v>
      </c>
      <c r="O872" t="s">
        <v>21</v>
      </c>
      <c r="P872" t="str" cm="1">
        <f t="array" ref="P872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873" spans="1:16">
      <c r="A873">
        <v>4432</v>
      </c>
      <c r="B873" t="s">
        <v>47</v>
      </c>
      <c r="C873" t="s">
        <v>16</v>
      </c>
      <c r="D873">
        <v>142.51</v>
      </c>
      <c r="E873">
        <v>7</v>
      </c>
      <c r="F873" t="s">
        <v>19</v>
      </c>
      <c r="G873" t="s">
        <v>24</v>
      </c>
      <c r="H873" t="s">
        <v>35</v>
      </c>
      <c r="I873" t="s">
        <v>20</v>
      </c>
      <c r="J873">
        <v>0</v>
      </c>
      <c r="K873">
        <v>0</v>
      </c>
      <c r="L873">
        <v>74</v>
      </c>
      <c r="M873">
        <v>2</v>
      </c>
      <c r="N873">
        <v>0</v>
      </c>
      <c r="O873" t="s">
        <v>21</v>
      </c>
      <c r="P873" t="str" cm="1">
        <f t="array" ref="P8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4" spans="1:16">
      <c r="A874">
        <v>2966</v>
      </c>
      <c r="B874" t="s">
        <v>60</v>
      </c>
      <c r="C874" t="s">
        <v>23</v>
      </c>
      <c r="D874">
        <v>217.42</v>
      </c>
      <c r="E874">
        <v>10</v>
      </c>
      <c r="F874" t="s">
        <v>19</v>
      </c>
      <c r="G874" t="s">
        <v>24</v>
      </c>
      <c r="H874" t="s">
        <v>25</v>
      </c>
      <c r="I874" t="s">
        <v>26</v>
      </c>
      <c r="J874">
        <v>0</v>
      </c>
      <c r="K874">
        <v>0</v>
      </c>
      <c r="L874">
        <v>88</v>
      </c>
      <c r="M874">
        <v>3</v>
      </c>
      <c r="N874">
        <v>0</v>
      </c>
      <c r="O874" t="s">
        <v>21</v>
      </c>
      <c r="P874" t="str" cm="1">
        <f t="array" ref="P8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5" spans="1:16">
      <c r="A875">
        <v>3297</v>
      </c>
      <c r="B875" t="s">
        <v>15</v>
      </c>
      <c r="C875" t="s">
        <v>16</v>
      </c>
      <c r="D875">
        <v>188.11</v>
      </c>
      <c r="E875">
        <v>18</v>
      </c>
      <c r="F875" t="s">
        <v>19</v>
      </c>
      <c r="G875" t="s">
        <v>24</v>
      </c>
      <c r="H875" t="s">
        <v>19</v>
      </c>
      <c r="I875" t="s">
        <v>20</v>
      </c>
      <c r="J875">
        <v>0</v>
      </c>
      <c r="K875">
        <v>0</v>
      </c>
      <c r="L875">
        <v>27</v>
      </c>
      <c r="M875">
        <v>2</v>
      </c>
      <c r="N875">
        <v>0</v>
      </c>
      <c r="O875" t="s">
        <v>21</v>
      </c>
      <c r="P875" t="str" cm="1">
        <f t="array" ref="P8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6" spans="1:16">
      <c r="A876">
        <v>3705</v>
      </c>
      <c r="B876" t="s">
        <v>37</v>
      </c>
      <c r="C876" t="s">
        <v>16</v>
      </c>
      <c r="D876">
        <v>529.29</v>
      </c>
      <c r="E876">
        <v>11</v>
      </c>
      <c r="F876" t="s">
        <v>17</v>
      </c>
      <c r="G876" t="s">
        <v>38</v>
      </c>
      <c r="H876" t="s">
        <v>41</v>
      </c>
      <c r="I876" t="s">
        <v>31</v>
      </c>
      <c r="J876">
        <v>0</v>
      </c>
      <c r="K876">
        <v>0</v>
      </c>
      <c r="L876">
        <v>82</v>
      </c>
      <c r="M876">
        <v>0</v>
      </c>
      <c r="N876">
        <v>0</v>
      </c>
      <c r="O876" t="s">
        <v>21</v>
      </c>
      <c r="P876" t="str" cm="1">
        <f t="array" ref="P876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877" spans="1:16">
      <c r="A877">
        <v>6073</v>
      </c>
      <c r="B877" t="s">
        <v>54</v>
      </c>
      <c r="C877" t="s">
        <v>28</v>
      </c>
      <c r="D877">
        <v>33.29</v>
      </c>
      <c r="E877">
        <v>2</v>
      </c>
      <c r="F877" t="s">
        <v>17</v>
      </c>
      <c r="G877" t="s">
        <v>24</v>
      </c>
      <c r="H877" t="s">
        <v>19</v>
      </c>
      <c r="I877" t="s">
        <v>26</v>
      </c>
      <c r="J877">
        <v>0</v>
      </c>
      <c r="K877">
        <v>0</v>
      </c>
      <c r="L877">
        <v>57</v>
      </c>
      <c r="M877">
        <v>1</v>
      </c>
      <c r="N877">
        <v>0</v>
      </c>
      <c r="O877" t="s">
        <v>21</v>
      </c>
      <c r="P877" t="str" cm="1">
        <f t="array" ref="P8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8" spans="1:16">
      <c r="A878">
        <v>1393</v>
      </c>
      <c r="B878" t="s">
        <v>60</v>
      </c>
      <c r="C878" t="s">
        <v>23</v>
      </c>
      <c r="D878">
        <v>33.49</v>
      </c>
      <c r="E878">
        <v>22</v>
      </c>
      <c r="F878" t="s">
        <v>19</v>
      </c>
      <c r="G878" t="s">
        <v>24</v>
      </c>
      <c r="H878" t="s">
        <v>41</v>
      </c>
      <c r="I878" t="s">
        <v>20</v>
      </c>
      <c r="J878">
        <v>0</v>
      </c>
      <c r="K878">
        <v>0</v>
      </c>
      <c r="L878">
        <v>95</v>
      </c>
      <c r="M878">
        <v>1</v>
      </c>
      <c r="N878">
        <v>0</v>
      </c>
      <c r="O878" t="s">
        <v>21</v>
      </c>
      <c r="P878" t="str" cm="1">
        <f t="array" ref="P8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79" spans="1:16">
      <c r="A879">
        <v>6476</v>
      </c>
      <c r="B879" t="s">
        <v>32</v>
      </c>
      <c r="C879" t="s">
        <v>33</v>
      </c>
      <c r="D879">
        <v>465.43</v>
      </c>
      <c r="E879">
        <v>8</v>
      </c>
      <c r="F879" t="s">
        <v>17</v>
      </c>
      <c r="G879" t="s">
        <v>24</v>
      </c>
      <c r="H879" t="s">
        <v>30</v>
      </c>
      <c r="I879" t="s">
        <v>20</v>
      </c>
      <c r="J879">
        <v>0</v>
      </c>
      <c r="K879">
        <v>0</v>
      </c>
      <c r="L879">
        <v>65</v>
      </c>
      <c r="M879">
        <v>1</v>
      </c>
      <c r="N879">
        <v>0</v>
      </c>
      <c r="O879" t="s">
        <v>21</v>
      </c>
      <c r="P879" t="str" cm="1">
        <f t="array" ref="P8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0" spans="1:16">
      <c r="A880">
        <v>2546</v>
      </c>
      <c r="B880" t="s">
        <v>47</v>
      </c>
      <c r="C880" t="s">
        <v>16</v>
      </c>
      <c r="D880">
        <v>120.37</v>
      </c>
      <c r="E880">
        <v>8</v>
      </c>
      <c r="F880" t="s">
        <v>29</v>
      </c>
      <c r="G880" t="s">
        <v>44</v>
      </c>
      <c r="H880" t="s">
        <v>41</v>
      </c>
      <c r="I880" t="s">
        <v>31</v>
      </c>
      <c r="J880">
        <v>0</v>
      </c>
      <c r="K880">
        <v>0</v>
      </c>
      <c r="L880">
        <v>45</v>
      </c>
      <c r="M880">
        <v>2</v>
      </c>
      <c r="N880">
        <v>0</v>
      </c>
      <c r="O880" t="s">
        <v>21</v>
      </c>
      <c r="P880" t="str" cm="1">
        <f t="array" ref="P8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1" spans="1:16">
      <c r="A881">
        <v>8881</v>
      </c>
      <c r="B881" t="s">
        <v>45</v>
      </c>
      <c r="C881" t="s">
        <v>28</v>
      </c>
      <c r="D881">
        <v>158.36000000000001</v>
      </c>
      <c r="E881">
        <v>6</v>
      </c>
      <c r="F881" t="s">
        <v>34</v>
      </c>
      <c r="G881" t="s">
        <v>24</v>
      </c>
      <c r="H881" t="s">
        <v>41</v>
      </c>
      <c r="I881" t="s">
        <v>20</v>
      </c>
      <c r="J881">
        <v>0</v>
      </c>
      <c r="K881">
        <v>0</v>
      </c>
      <c r="L881">
        <v>34</v>
      </c>
      <c r="M881">
        <v>2</v>
      </c>
      <c r="N881">
        <v>0</v>
      </c>
      <c r="O881" t="s">
        <v>21</v>
      </c>
      <c r="P881" t="str" cm="1">
        <f t="array" ref="P8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2" spans="1:16">
      <c r="A882">
        <v>6158</v>
      </c>
      <c r="B882" t="s">
        <v>74</v>
      </c>
      <c r="C882" t="s">
        <v>28</v>
      </c>
      <c r="D882">
        <v>231.29</v>
      </c>
      <c r="E882">
        <v>3</v>
      </c>
      <c r="F882" t="s">
        <v>29</v>
      </c>
      <c r="G882" t="s">
        <v>24</v>
      </c>
      <c r="H882" t="s">
        <v>30</v>
      </c>
      <c r="I882" t="s">
        <v>20</v>
      </c>
      <c r="J882">
        <v>0</v>
      </c>
      <c r="K882">
        <v>0</v>
      </c>
      <c r="L882">
        <v>26</v>
      </c>
      <c r="M882">
        <v>5</v>
      </c>
      <c r="N882">
        <v>1</v>
      </c>
      <c r="O882" t="s">
        <v>36</v>
      </c>
      <c r="P882" t="str" cm="1">
        <f t="array" ref="P8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3" spans="1:16">
      <c r="A883">
        <v>9685</v>
      </c>
      <c r="B883" t="s">
        <v>46</v>
      </c>
      <c r="C883" t="s">
        <v>23</v>
      </c>
      <c r="D883">
        <v>145.32</v>
      </c>
      <c r="E883">
        <v>20</v>
      </c>
      <c r="F883" t="s">
        <v>50</v>
      </c>
      <c r="G883" t="s">
        <v>44</v>
      </c>
      <c r="H883" t="s">
        <v>30</v>
      </c>
      <c r="I883" t="s">
        <v>20</v>
      </c>
      <c r="J883">
        <v>1</v>
      </c>
      <c r="K883">
        <v>0</v>
      </c>
      <c r="L883">
        <v>40</v>
      </c>
      <c r="M883">
        <v>0</v>
      </c>
      <c r="N883">
        <v>0</v>
      </c>
      <c r="O883" t="s">
        <v>21</v>
      </c>
      <c r="P883" t="str" cm="1">
        <f t="array" ref="P8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4" spans="1:16">
      <c r="A884">
        <v>4488</v>
      </c>
      <c r="B884" t="s">
        <v>47</v>
      </c>
      <c r="C884" t="s">
        <v>16</v>
      </c>
      <c r="D884">
        <v>78.88</v>
      </c>
      <c r="E884">
        <v>5</v>
      </c>
      <c r="F884" t="s">
        <v>17</v>
      </c>
      <c r="G884" t="s">
        <v>38</v>
      </c>
      <c r="H884" t="s">
        <v>48</v>
      </c>
      <c r="I884" t="s">
        <v>20</v>
      </c>
      <c r="J884">
        <v>0</v>
      </c>
      <c r="K884">
        <v>0</v>
      </c>
      <c r="L884">
        <v>75</v>
      </c>
      <c r="M884">
        <v>1</v>
      </c>
      <c r="N884">
        <v>0</v>
      </c>
      <c r="O884" t="s">
        <v>21</v>
      </c>
      <c r="P884" t="str" cm="1">
        <f t="array" ref="P8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5" spans="1:16">
      <c r="A885">
        <v>1201</v>
      </c>
      <c r="B885" t="s">
        <v>51</v>
      </c>
      <c r="C885" t="s">
        <v>52</v>
      </c>
      <c r="D885">
        <v>255.58</v>
      </c>
      <c r="E885">
        <v>10</v>
      </c>
      <c r="F885" t="s">
        <v>34</v>
      </c>
      <c r="G885" t="s">
        <v>18</v>
      </c>
      <c r="H885" t="s">
        <v>35</v>
      </c>
      <c r="I885" t="s">
        <v>20</v>
      </c>
      <c r="J885">
        <v>0</v>
      </c>
      <c r="K885">
        <v>0</v>
      </c>
      <c r="L885">
        <v>86</v>
      </c>
      <c r="M885">
        <v>0</v>
      </c>
      <c r="N885">
        <v>0</v>
      </c>
      <c r="O885" t="s">
        <v>21</v>
      </c>
      <c r="P885" t="str" cm="1">
        <f t="array" ref="P8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6" spans="1:16">
      <c r="A886">
        <v>1453</v>
      </c>
      <c r="B886" t="s">
        <v>46</v>
      </c>
      <c r="C886" t="s">
        <v>23</v>
      </c>
      <c r="D886">
        <v>365.73</v>
      </c>
      <c r="E886">
        <v>14</v>
      </c>
      <c r="F886" t="s">
        <v>19</v>
      </c>
      <c r="G886" t="s">
        <v>38</v>
      </c>
      <c r="H886" t="s">
        <v>35</v>
      </c>
      <c r="I886" t="s">
        <v>26</v>
      </c>
      <c r="J886">
        <v>0</v>
      </c>
      <c r="K886">
        <v>0</v>
      </c>
      <c r="L886">
        <v>41</v>
      </c>
      <c r="M886">
        <v>2</v>
      </c>
      <c r="N886">
        <v>0</v>
      </c>
      <c r="O886" t="s">
        <v>21</v>
      </c>
      <c r="P886" t="str" cm="1">
        <f t="array" ref="P8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7" spans="1:16">
      <c r="A887">
        <v>7914</v>
      </c>
      <c r="B887" t="s">
        <v>40</v>
      </c>
      <c r="C887" t="s">
        <v>33</v>
      </c>
      <c r="D887">
        <v>9.1</v>
      </c>
      <c r="E887">
        <v>18</v>
      </c>
      <c r="F887" t="s">
        <v>29</v>
      </c>
      <c r="G887" t="s">
        <v>24</v>
      </c>
      <c r="H887" t="s">
        <v>48</v>
      </c>
      <c r="I887" t="s">
        <v>20</v>
      </c>
      <c r="J887">
        <v>0</v>
      </c>
      <c r="K887">
        <v>0</v>
      </c>
      <c r="L887">
        <v>41</v>
      </c>
      <c r="M887">
        <v>1</v>
      </c>
      <c r="N887">
        <v>0</v>
      </c>
      <c r="O887" t="s">
        <v>21</v>
      </c>
      <c r="P887" t="str" cm="1">
        <f t="array" ref="P8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8" spans="1:16">
      <c r="A888">
        <v>4304</v>
      </c>
      <c r="B888" t="s">
        <v>49</v>
      </c>
      <c r="C888" t="s">
        <v>16</v>
      </c>
      <c r="D888">
        <v>159.01</v>
      </c>
      <c r="E888">
        <v>0</v>
      </c>
      <c r="F888" t="s">
        <v>17</v>
      </c>
      <c r="G888" t="s">
        <v>18</v>
      </c>
      <c r="H888" t="s">
        <v>35</v>
      </c>
      <c r="I888" t="s">
        <v>31</v>
      </c>
      <c r="J888">
        <v>1</v>
      </c>
      <c r="K888">
        <v>0</v>
      </c>
      <c r="L888">
        <v>33</v>
      </c>
      <c r="M888">
        <v>1</v>
      </c>
      <c r="N888">
        <v>1</v>
      </c>
      <c r="O888" t="s">
        <v>36</v>
      </c>
      <c r="P888" t="str" cm="1">
        <f t="array" ref="P8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89" spans="1:16">
      <c r="A889">
        <v>3326</v>
      </c>
      <c r="B889" t="s">
        <v>22</v>
      </c>
      <c r="C889" t="s">
        <v>23</v>
      </c>
      <c r="D889">
        <v>250.8</v>
      </c>
      <c r="E889">
        <v>0</v>
      </c>
      <c r="F889" t="s">
        <v>50</v>
      </c>
      <c r="G889" t="s">
        <v>53</v>
      </c>
      <c r="H889" t="s">
        <v>48</v>
      </c>
      <c r="I889" t="s">
        <v>20</v>
      </c>
      <c r="J889">
        <v>0</v>
      </c>
      <c r="K889">
        <v>0</v>
      </c>
      <c r="L889">
        <v>49</v>
      </c>
      <c r="M889">
        <v>4</v>
      </c>
      <c r="N889">
        <v>0</v>
      </c>
      <c r="O889" t="s">
        <v>21</v>
      </c>
      <c r="P889" t="str" cm="1">
        <f t="array" ref="P8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0" spans="1:16">
      <c r="A890">
        <v>4476</v>
      </c>
      <c r="B890" t="s">
        <v>45</v>
      </c>
      <c r="C890" t="s">
        <v>28</v>
      </c>
      <c r="D890">
        <v>119.03</v>
      </c>
      <c r="E890">
        <v>2</v>
      </c>
      <c r="F890" t="s">
        <v>34</v>
      </c>
      <c r="G890" t="s">
        <v>24</v>
      </c>
      <c r="H890" t="s">
        <v>30</v>
      </c>
      <c r="I890" t="s">
        <v>20</v>
      </c>
      <c r="J890">
        <v>0</v>
      </c>
      <c r="K890">
        <v>0</v>
      </c>
      <c r="L890">
        <v>28</v>
      </c>
      <c r="M890">
        <v>5</v>
      </c>
      <c r="N890">
        <v>1</v>
      </c>
      <c r="O890" t="s">
        <v>36</v>
      </c>
      <c r="P890" t="str" cm="1">
        <f t="array" ref="P8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1" spans="1:16">
      <c r="A891">
        <v>5408</v>
      </c>
      <c r="B891" t="s">
        <v>57</v>
      </c>
      <c r="C891" t="s">
        <v>43</v>
      </c>
      <c r="D891">
        <v>105.48</v>
      </c>
      <c r="E891">
        <v>1</v>
      </c>
      <c r="F891" t="s">
        <v>19</v>
      </c>
      <c r="G891" t="s">
        <v>24</v>
      </c>
      <c r="H891" t="s">
        <v>41</v>
      </c>
      <c r="I891" t="s">
        <v>25</v>
      </c>
      <c r="J891">
        <v>0</v>
      </c>
      <c r="K891">
        <v>1</v>
      </c>
      <c r="L891">
        <v>27</v>
      </c>
      <c r="M891">
        <v>3</v>
      </c>
      <c r="N891">
        <v>1</v>
      </c>
      <c r="O891" t="s">
        <v>36</v>
      </c>
      <c r="P891" t="str" cm="1">
        <f t="array" ref="P8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2" spans="1:16">
      <c r="A892">
        <v>6954</v>
      </c>
      <c r="B892" t="s">
        <v>56</v>
      </c>
      <c r="C892" t="s">
        <v>52</v>
      </c>
      <c r="D892">
        <v>1.28</v>
      </c>
      <c r="E892">
        <v>14</v>
      </c>
      <c r="F892" t="s">
        <v>19</v>
      </c>
      <c r="G892" t="s">
        <v>24</v>
      </c>
      <c r="H892" t="s">
        <v>41</v>
      </c>
      <c r="I892" t="s">
        <v>20</v>
      </c>
      <c r="J892">
        <v>0</v>
      </c>
      <c r="K892">
        <v>1</v>
      </c>
      <c r="L892">
        <v>25</v>
      </c>
      <c r="M892">
        <v>5</v>
      </c>
      <c r="N892">
        <v>1</v>
      </c>
      <c r="O892" t="s">
        <v>36</v>
      </c>
      <c r="P892" t="str" cm="1">
        <f t="array" ref="P8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3" spans="1:16">
      <c r="A893">
        <v>1549</v>
      </c>
      <c r="B893" t="s">
        <v>60</v>
      </c>
      <c r="C893" t="s">
        <v>23</v>
      </c>
      <c r="D893">
        <v>7.99</v>
      </c>
      <c r="E893">
        <v>2</v>
      </c>
      <c r="F893" t="s">
        <v>17</v>
      </c>
      <c r="G893" t="s">
        <v>18</v>
      </c>
      <c r="H893" t="s">
        <v>41</v>
      </c>
      <c r="I893" t="s">
        <v>20</v>
      </c>
      <c r="J893">
        <v>1</v>
      </c>
      <c r="K893">
        <v>0</v>
      </c>
      <c r="L893">
        <v>32</v>
      </c>
      <c r="M893">
        <v>3</v>
      </c>
      <c r="N893">
        <v>1</v>
      </c>
      <c r="O893" t="s">
        <v>36</v>
      </c>
      <c r="P893" t="str" cm="1">
        <f t="array" ref="P8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4" spans="1:16">
      <c r="A894">
        <v>4012</v>
      </c>
      <c r="B894" t="s">
        <v>47</v>
      </c>
      <c r="C894" t="s">
        <v>16</v>
      </c>
      <c r="D894">
        <v>89.54</v>
      </c>
      <c r="E894">
        <v>18</v>
      </c>
      <c r="F894" t="s">
        <v>17</v>
      </c>
      <c r="G894" t="s">
        <v>24</v>
      </c>
      <c r="H894" t="s">
        <v>30</v>
      </c>
      <c r="I894" t="s">
        <v>20</v>
      </c>
      <c r="J894">
        <v>0</v>
      </c>
      <c r="K894">
        <v>1</v>
      </c>
      <c r="L894">
        <v>37</v>
      </c>
      <c r="M894">
        <v>5</v>
      </c>
      <c r="N894">
        <v>1</v>
      </c>
      <c r="O894" t="s">
        <v>36</v>
      </c>
      <c r="P894" t="str" cm="1">
        <f t="array" ref="P8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5" spans="1:16">
      <c r="A895">
        <v>1984</v>
      </c>
      <c r="B895" t="s">
        <v>32</v>
      </c>
      <c r="C895" t="s">
        <v>33</v>
      </c>
      <c r="D895">
        <v>118.74</v>
      </c>
      <c r="E895">
        <v>20</v>
      </c>
      <c r="F895" t="s">
        <v>17</v>
      </c>
      <c r="G895" t="s">
        <v>53</v>
      </c>
      <c r="H895" t="s">
        <v>19</v>
      </c>
      <c r="I895" t="s">
        <v>20</v>
      </c>
      <c r="J895">
        <v>0</v>
      </c>
      <c r="K895">
        <v>0</v>
      </c>
      <c r="L895">
        <v>92</v>
      </c>
      <c r="M895">
        <v>1</v>
      </c>
      <c r="N895">
        <v>0</v>
      </c>
      <c r="O895" t="s">
        <v>21</v>
      </c>
      <c r="P895" t="str" cm="1">
        <f t="array" ref="P8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6" spans="1:16">
      <c r="A896">
        <v>2717</v>
      </c>
      <c r="B896" t="s">
        <v>65</v>
      </c>
      <c r="C896" t="s">
        <v>16</v>
      </c>
      <c r="D896">
        <v>187.16</v>
      </c>
      <c r="E896">
        <v>3</v>
      </c>
      <c r="F896" t="s">
        <v>34</v>
      </c>
      <c r="G896" t="s">
        <v>24</v>
      </c>
      <c r="H896" t="s">
        <v>41</v>
      </c>
      <c r="I896" t="s">
        <v>25</v>
      </c>
      <c r="J896">
        <v>0</v>
      </c>
      <c r="K896">
        <v>1</v>
      </c>
      <c r="L896">
        <v>70</v>
      </c>
      <c r="M896">
        <v>4</v>
      </c>
      <c r="N896">
        <v>0</v>
      </c>
      <c r="O896" t="s">
        <v>21</v>
      </c>
      <c r="P896" t="str" cm="1">
        <f t="array" ref="P8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7" spans="1:16">
      <c r="A897">
        <v>1562</v>
      </c>
      <c r="B897" t="s">
        <v>46</v>
      </c>
      <c r="C897" t="s">
        <v>23</v>
      </c>
      <c r="D897">
        <v>48.66</v>
      </c>
      <c r="E897">
        <v>6</v>
      </c>
      <c r="F897" t="s">
        <v>29</v>
      </c>
      <c r="G897" t="s">
        <v>24</v>
      </c>
      <c r="H897" t="s">
        <v>41</v>
      </c>
      <c r="I897" t="s">
        <v>26</v>
      </c>
      <c r="J897">
        <v>0</v>
      </c>
      <c r="K897">
        <v>0</v>
      </c>
      <c r="L897">
        <v>36</v>
      </c>
      <c r="M897">
        <v>1</v>
      </c>
      <c r="N897">
        <v>0</v>
      </c>
      <c r="O897" t="s">
        <v>21</v>
      </c>
      <c r="P897" t="str" cm="1">
        <f t="array" ref="P8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8" spans="1:16">
      <c r="A898">
        <v>1470</v>
      </c>
      <c r="B898" t="s">
        <v>51</v>
      </c>
      <c r="C898" t="s">
        <v>52</v>
      </c>
      <c r="D898">
        <v>274.51</v>
      </c>
      <c r="E898">
        <v>4</v>
      </c>
      <c r="F898" t="s">
        <v>50</v>
      </c>
      <c r="G898" t="s">
        <v>18</v>
      </c>
      <c r="H898" t="s">
        <v>30</v>
      </c>
      <c r="I898" t="s">
        <v>20</v>
      </c>
      <c r="J898">
        <v>0</v>
      </c>
      <c r="K898">
        <v>0</v>
      </c>
      <c r="L898">
        <v>90</v>
      </c>
      <c r="M898">
        <v>2</v>
      </c>
      <c r="N898">
        <v>0</v>
      </c>
      <c r="O898" t="s">
        <v>21</v>
      </c>
      <c r="P898" t="str" cm="1">
        <f t="array" ref="P8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899" spans="1:16">
      <c r="A899">
        <v>8978</v>
      </c>
      <c r="B899" t="s">
        <v>46</v>
      </c>
      <c r="C899" t="s">
        <v>23</v>
      </c>
      <c r="D899">
        <v>229.41</v>
      </c>
      <c r="E899">
        <v>3</v>
      </c>
      <c r="F899" t="s">
        <v>17</v>
      </c>
      <c r="G899" t="s">
        <v>24</v>
      </c>
      <c r="H899" t="s">
        <v>41</v>
      </c>
      <c r="I899" t="s">
        <v>20</v>
      </c>
      <c r="J899">
        <v>0</v>
      </c>
      <c r="K899">
        <v>0</v>
      </c>
      <c r="L899">
        <v>68</v>
      </c>
      <c r="M899">
        <v>0</v>
      </c>
      <c r="N899">
        <v>0</v>
      </c>
      <c r="O899" t="s">
        <v>21</v>
      </c>
      <c r="P899" t="str" cm="1">
        <f t="array" ref="P8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0" spans="1:16">
      <c r="A900">
        <v>8586</v>
      </c>
      <c r="B900" t="s">
        <v>32</v>
      </c>
      <c r="C900" t="s">
        <v>33</v>
      </c>
      <c r="D900">
        <v>114.39</v>
      </c>
      <c r="E900">
        <v>23</v>
      </c>
      <c r="F900" t="s">
        <v>17</v>
      </c>
      <c r="G900" t="s">
        <v>24</v>
      </c>
      <c r="H900" t="s">
        <v>25</v>
      </c>
      <c r="I900" t="s">
        <v>25</v>
      </c>
      <c r="J900">
        <v>0</v>
      </c>
      <c r="K900">
        <v>0</v>
      </c>
      <c r="L900">
        <v>27</v>
      </c>
      <c r="M900">
        <v>2</v>
      </c>
      <c r="N900">
        <v>0</v>
      </c>
      <c r="O900" t="s">
        <v>21</v>
      </c>
      <c r="P900" t="str" cm="1">
        <f t="array" ref="P9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1" spans="1:16">
      <c r="A901">
        <v>4101</v>
      </c>
      <c r="B901" t="s">
        <v>57</v>
      </c>
      <c r="C901" t="s">
        <v>43</v>
      </c>
      <c r="D901">
        <v>179.64</v>
      </c>
      <c r="E901">
        <v>15</v>
      </c>
      <c r="F901" t="s">
        <v>17</v>
      </c>
      <c r="G901" t="s">
        <v>18</v>
      </c>
      <c r="H901" t="s">
        <v>35</v>
      </c>
      <c r="I901" t="s">
        <v>26</v>
      </c>
      <c r="J901">
        <v>0</v>
      </c>
      <c r="K901">
        <v>0</v>
      </c>
      <c r="L901">
        <v>26</v>
      </c>
      <c r="M901">
        <v>3</v>
      </c>
      <c r="N901">
        <v>0</v>
      </c>
      <c r="O901" t="s">
        <v>21</v>
      </c>
      <c r="P901" t="str" cm="1">
        <f t="array" ref="P9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2" spans="1:16">
      <c r="A902">
        <v>7957</v>
      </c>
      <c r="B902" t="s">
        <v>39</v>
      </c>
      <c r="C902" t="s">
        <v>28</v>
      </c>
      <c r="D902">
        <v>199.2</v>
      </c>
      <c r="E902">
        <v>20</v>
      </c>
      <c r="F902" t="s">
        <v>50</v>
      </c>
      <c r="G902" t="s">
        <v>44</v>
      </c>
      <c r="H902" t="s">
        <v>19</v>
      </c>
      <c r="I902" t="s">
        <v>25</v>
      </c>
      <c r="J902">
        <v>0</v>
      </c>
      <c r="K902">
        <v>0</v>
      </c>
      <c r="L902">
        <v>39</v>
      </c>
      <c r="M902">
        <v>4</v>
      </c>
      <c r="N902">
        <v>0</v>
      </c>
      <c r="O902" t="s">
        <v>21</v>
      </c>
      <c r="P902" t="str" cm="1">
        <f t="array" ref="P90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3" spans="1:16">
      <c r="A903">
        <v>4511</v>
      </c>
      <c r="B903" t="s">
        <v>74</v>
      </c>
      <c r="C903" t="s">
        <v>28</v>
      </c>
      <c r="D903">
        <v>34.5</v>
      </c>
      <c r="E903">
        <v>13</v>
      </c>
      <c r="F903" t="s">
        <v>29</v>
      </c>
      <c r="G903" t="s">
        <v>24</v>
      </c>
      <c r="H903" t="s">
        <v>48</v>
      </c>
      <c r="I903" t="s">
        <v>31</v>
      </c>
      <c r="J903">
        <v>0</v>
      </c>
      <c r="K903">
        <v>0</v>
      </c>
      <c r="L903">
        <v>94</v>
      </c>
      <c r="M903">
        <v>4</v>
      </c>
      <c r="N903">
        <v>0</v>
      </c>
      <c r="O903" t="s">
        <v>21</v>
      </c>
      <c r="P903" t="str" cm="1">
        <f t="array" ref="P90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4" spans="1:16">
      <c r="A904">
        <v>4403</v>
      </c>
      <c r="B904" t="s">
        <v>45</v>
      </c>
      <c r="C904" t="s">
        <v>28</v>
      </c>
      <c r="D904">
        <v>50.79</v>
      </c>
      <c r="E904">
        <v>5</v>
      </c>
      <c r="F904" t="s">
        <v>34</v>
      </c>
      <c r="G904" t="s">
        <v>18</v>
      </c>
      <c r="H904" t="s">
        <v>41</v>
      </c>
      <c r="I904" t="s">
        <v>20</v>
      </c>
      <c r="J904">
        <v>0</v>
      </c>
      <c r="K904">
        <v>0</v>
      </c>
      <c r="L904">
        <v>82</v>
      </c>
      <c r="M904">
        <v>0</v>
      </c>
      <c r="N904">
        <v>0</v>
      </c>
      <c r="O904" t="s">
        <v>21</v>
      </c>
      <c r="P904" t="str" cm="1">
        <f t="array" ref="P90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5" spans="1:16">
      <c r="A905">
        <v>5776</v>
      </c>
      <c r="B905" t="s">
        <v>63</v>
      </c>
      <c r="C905" t="s">
        <v>28</v>
      </c>
      <c r="D905">
        <v>84.69</v>
      </c>
      <c r="E905">
        <v>23</v>
      </c>
      <c r="F905" t="s">
        <v>50</v>
      </c>
      <c r="G905" t="s">
        <v>44</v>
      </c>
      <c r="H905" t="s">
        <v>35</v>
      </c>
      <c r="I905" t="s">
        <v>26</v>
      </c>
      <c r="J905">
        <v>0</v>
      </c>
      <c r="K905">
        <v>0</v>
      </c>
      <c r="L905">
        <v>73</v>
      </c>
      <c r="M905">
        <v>3</v>
      </c>
      <c r="N905">
        <v>0</v>
      </c>
      <c r="O905" t="s">
        <v>21</v>
      </c>
      <c r="P905" t="str" cm="1">
        <f t="array" ref="P90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6" spans="1:16">
      <c r="A906">
        <v>9461</v>
      </c>
      <c r="B906" t="s">
        <v>22</v>
      </c>
      <c r="C906" t="s">
        <v>23</v>
      </c>
      <c r="D906">
        <v>207.19</v>
      </c>
      <c r="E906">
        <v>21</v>
      </c>
      <c r="F906" t="s">
        <v>17</v>
      </c>
      <c r="G906" t="s">
        <v>18</v>
      </c>
      <c r="H906" t="s">
        <v>19</v>
      </c>
      <c r="I906" t="s">
        <v>20</v>
      </c>
      <c r="J906">
        <v>0</v>
      </c>
      <c r="K906">
        <v>0</v>
      </c>
      <c r="L906">
        <v>98</v>
      </c>
      <c r="M906">
        <v>1</v>
      </c>
      <c r="N906">
        <v>0</v>
      </c>
      <c r="O906" t="s">
        <v>21</v>
      </c>
      <c r="P906" t="str" cm="1">
        <f t="array" ref="P90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7" spans="1:16">
      <c r="A907">
        <v>4333</v>
      </c>
      <c r="B907" t="s">
        <v>59</v>
      </c>
      <c r="C907" t="s">
        <v>16</v>
      </c>
      <c r="D907">
        <v>104.32</v>
      </c>
      <c r="E907">
        <v>0</v>
      </c>
      <c r="F907" t="s">
        <v>50</v>
      </c>
      <c r="G907" t="s">
        <v>24</v>
      </c>
      <c r="H907" t="s">
        <v>48</v>
      </c>
      <c r="I907" t="s">
        <v>26</v>
      </c>
      <c r="J907">
        <v>0</v>
      </c>
      <c r="K907">
        <v>0</v>
      </c>
      <c r="L907">
        <v>55</v>
      </c>
      <c r="M907">
        <v>1</v>
      </c>
      <c r="N907">
        <v>0</v>
      </c>
      <c r="O907" t="s">
        <v>21</v>
      </c>
      <c r="P907" t="str" cm="1">
        <f t="array" ref="P90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8" spans="1:16">
      <c r="A908">
        <v>8070</v>
      </c>
      <c r="B908" t="s">
        <v>60</v>
      </c>
      <c r="C908" t="s">
        <v>23</v>
      </c>
      <c r="D908">
        <v>152.19</v>
      </c>
      <c r="E908">
        <v>16</v>
      </c>
      <c r="F908" t="s">
        <v>50</v>
      </c>
      <c r="G908" t="s">
        <v>24</v>
      </c>
      <c r="H908" t="s">
        <v>25</v>
      </c>
      <c r="I908" t="s">
        <v>20</v>
      </c>
      <c r="J908">
        <v>0</v>
      </c>
      <c r="K908">
        <v>0</v>
      </c>
      <c r="L908">
        <v>92</v>
      </c>
      <c r="M908">
        <v>0</v>
      </c>
      <c r="N908">
        <v>0</v>
      </c>
      <c r="O908" t="s">
        <v>21</v>
      </c>
      <c r="P908" t="str" cm="1">
        <f t="array" ref="P90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09" spans="1:16">
      <c r="A909">
        <v>5181</v>
      </c>
      <c r="B909" t="s">
        <v>49</v>
      </c>
      <c r="C909" t="s">
        <v>16</v>
      </c>
      <c r="D909">
        <v>88.38</v>
      </c>
      <c r="E909">
        <v>21</v>
      </c>
      <c r="F909" t="s">
        <v>34</v>
      </c>
      <c r="G909" t="s">
        <v>44</v>
      </c>
      <c r="H909" t="s">
        <v>35</v>
      </c>
      <c r="I909" t="s">
        <v>20</v>
      </c>
      <c r="J909">
        <v>0</v>
      </c>
      <c r="K909">
        <v>0</v>
      </c>
      <c r="L909">
        <v>51</v>
      </c>
      <c r="M909">
        <v>5</v>
      </c>
      <c r="N909">
        <v>0</v>
      </c>
      <c r="O909" t="s">
        <v>21</v>
      </c>
      <c r="P909" t="str" cm="1">
        <f t="array" ref="P90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0" spans="1:16">
      <c r="A910">
        <v>1192</v>
      </c>
      <c r="B910" t="s">
        <v>40</v>
      </c>
      <c r="C910" t="s">
        <v>33</v>
      </c>
      <c r="D910">
        <v>157.08000000000001</v>
      </c>
      <c r="E910">
        <v>13</v>
      </c>
      <c r="F910" t="s">
        <v>29</v>
      </c>
      <c r="G910" t="s">
        <v>24</v>
      </c>
      <c r="H910" t="s">
        <v>19</v>
      </c>
      <c r="I910" t="s">
        <v>26</v>
      </c>
      <c r="J910">
        <v>0</v>
      </c>
      <c r="K910">
        <v>0</v>
      </c>
      <c r="L910">
        <v>80</v>
      </c>
      <c r="M910">
        <v>0</v>
      </c>
      <c r="N910">
        <v>0</v>
      </c>
      <c r="O910" t="s">
        <v>21</v>
      </c>
      <c r="P910" t="str" cm="1">
        <f t="array" ref="P91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1" spans="1:16">
      <c r="A911">
        <v>915</v>
      </c>
      <c r="B911" t="s">
        <v>58</v>
      </c>
      <c r="C911" t="s">
        <v>43</v>
      </c>
      <c r="D911">
        <v>144.55000000000001</v>
      </c>
      <c r="E911">
        <v>19</v>
      </c>
      <c r="F911" t="s">
        <v>29</v>
      </c>
      <c r="G911" t="s">
        <v>24</v>
      </c>
      <c r="H911" t="s">
        <v>25</v>
      </c>
      <c r="I911" t="s">
        <v>26</v>
      </c>
      <c r="J911">
        <v>0</v>
      </c>
      <c r="K911">
        <v>0</v>
      </c>
      <c r="L911">
        <v>80</v>
      </c>
      <c r="M911">
        <v>3</v>
      </c>
      <c r="N911">
        <v>0</v>
      </c>
      <c r="O911" t="s">
        <v>21</v>
      </c>
      <c r="P911" t="str" cm="1">
        <f t="array" ref="P91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2" spans="1:16">
      <c r="A912">
        <v>3599</v>
      </c>
      <c r="B912" t="s">
        <v>39</v>
      </c>
      <c r="C912" t="s">
        <v>28</v>
      </c>
      <c r="D912">
        <v>83.79</v>
      </c>
      <c r="E912">
        <v>16</v>
      </c>
      <c r="F912" t="s">
        <v>50</v>
      </c>
      <c r="G912" t="s">
        <v>24</v>
      </c>
      <c r="H912" t="s">
        <v>48</v>
      </c>
      <c r="I912" t="s">
        <v>20</v>
      </c>
      <c r="J912">
        <v>0</v>
      </c>
      <c r="K912">
        <v>0</v>
      </c>
      <c r="L912">
        <v>56</v>
      </c>
      <c r="M912">
        <v>3</v>
      </c>
      <c r="N912">
        <v>0</v>
      </c>
      <c r="O912" t="s">
        <v>21</v>
      </c>
      <c r="P912" t="str" cm="1">
        <f t="array" ref="P91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3" spans="1:16">
      <c r="A913">
        <v>4250</v>
      </c>
      <c r="B913" t="s">
        <v>51</v>
      </c>
      <c r="C913" t="s">
        <v>52</v>
      </c>
      <c r="D913">
        <v>627.16</v>
      </c>
      <c r="E913">
        <v>4</v>
      </c>
      <c r="F913" t="s">
        <v>34</v>
      </c>
      <c r="G913" t="s">
        <v>24</v>
      </c>
      <c r="H913" t="s">
        <v>30</v>
      </c>
      <c r="I913" t="s">
        <v>20</v>
      </c>
      <c r="J913">
        <v>0</v>
      </c>
      <c r="K913">
        <v>0</v>
      </c>
      <c r="L913">
        <v>62</v>
      </c>
      <c r="M913">
        <v>2</v>
      </c>
      <c r="N913">
        <v>0</v>
      </c>
      <c r="O913" t="s">
        <v>21</v>
      </c>
      <c r="P913" t="str" cm="1">
        <f t="array" ref="P913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914" spans="1:16">
      <c r="A914">
        <v>8484</v>
      </c>
      <c r="B914" t="s">
        <v>45</v>
      </c>
      <c r="C914" t="s">
        <v>28</v>
      </c>
      <c r="D914">
        <v>484.24</v>
      </c>
      <c r="E914">
        <v>14</v>
      </c>
      <c r="F914" t="s">
        <v>29</v>
      </c>
      <c r="G914" t="s">
        <v>24</v>
      </c>
      <c r="H914" t="s">
        <v>35</v>
      </c>
      <c r="I914" t="s">
        <v>20</v>
      </c>
      <c r="J914">
        <v>0</v>
      </c>
      <c r="K914">
        <v>0</v>
      </c>
      <c r="L914">
        <v>71</v>
      </c>
      <c r="M914">
        <v>4</v>
      </c>
      <c r="N914">
        <v>0</v>
      </c>
      <c r="O914" t="s">
        <v>21</v>
      </c>
      <c r="P914" t="str" cm="1">
        <f t="array" ref="P91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5" spans="1:16">
      <c r="A915">
        <v>1086</v>
      </c>
      <c r="B915" t="s">
        <v>32</v>
      </c>
      <c r="C915" t="s">
        <v>33</v>
      </c>
      <c r="D915">
        <v>113.4</v>
      </c>
      <c r="E915">
        <v>5</v>
      </c>
      <c r="F915" t="s">
        <v>34</v>
      </c>
      <c r="G915" t="s">
        <v>24</v>
      </c>
      <c r="H915" t="s">
        <v>35</v>
      </c>
      <c r="I915" t="s">
        <v>26</v>
      </c>
      <c r="J915">
        <v>0</v>
      </c>
      <c r="K915">
        <v>0</v>
      </c>
      <c r="L915">
        <v>72</v>
      </c>
      <c r="M915">
        <v>4</v>
      </c>
      <c r="N915">
        <v>0</v>
      </c>
      <c r="O915" t="s">
        <v>21</v>
      </c>
      <c r="P915" t="str" cm="1">
        <f t="array" ref="P91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6" spans="1:16">
      <c r="A916">
        <v>4075</v>
      </c>
      <c r="B916" t="s">
        <v>57</v>
      </c>
      <c r="C916" t="s">
        <v>43</v>
      </c>
      <c r="D916">
        <v>206.53</v>
      </c>
      <c r="E916">
        <v>9</v>
      </c>
      <c r="F916" t="s">
        <v>50</v>
      </c>
      <c r="G916" t="s">
        <v>18</v>
      </c>
      <c r="H916" t="s">
        <v>19</v>
      </c>
      <c r="I916" t="s">
        <v>31</v>
      </c>
      <c r="J916">
        <v>0</v>
      </c>
      <c r="K916">
        <v>0</v>
      </c>
      <c r="L916">
        <v>78</v>
      </c>
      <c r="M916">
        <v>1</v>
      </c>
      <c r="N916">
        <v>0</v>
      </c>
      <c r="O916" t="s">
        <v>21</v>
      </c>
      <c r="P916" t="str" cm="1">
        <f t="array" ref="P91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7" spans="1:16">
      <c r="A917">
        <v>1625</v>
      </c>
      <c r="B917" t="s">
        <v>45</v>
      </c>
      <c r="C917" t="s">
        <v>28</v>
      </c>
      <c r="D917">
        <v>34.69</v>
      </c>
      <c r="E917">
        <v>13</v>
      </c>
      <c r="F917" t="s">
        <v>34</v>
      </c>
      <c r="G917" t="s">
        <v>24</v>
      </c>
      <c r="H917" t="s">
        <v>35</v>
      </c>
      <c r="I917" t="s">
        <v>31</v>
      </c>
      <c r="J917">
        <v>1</v>
      </c>
      <c r="K917">
        <v>0</v>
      </c>
      <c r="L917">
        <v>72</v>
      </c>
      <c r="M917">
        <v>0</v>
      </c>
      <c r="N917">
        <v>0</v>
      </c>
      <c r="O917" t="s">
        <v>21</v>
      </c>
      <c r="P917" t="str" cm="1">
        <f t="array" ref="P91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8" spans="1:16">
      <c r="A918">
        <v>5936</v>
      </c>
      <c r="B918" t="s">
        <v>46</v>
      </c>
      <c r="C918" t="s">
        <v>23</v>
      </c>
      <c r="D918">
        <v>237.43</v>
      </c>
      <c r="E918">
        <v>7</v>
      </c>
      <c r="F918" t="s">
        <v>29</v>
      </c>
      <c r="G918" t="s">
        <v>18</v>
      </c>
      <c r="H918" t="s">
        <v>35</v>
      </c>
      <c r="I918" t="s">
        <v>31</v>
      </c>
      <c r="J918">
        <v>0</v>
      </c>
      <c r="K918">
        <v>0</v>
      </c>
      <c r="L918">
        <v>97</v>
      </c>
      <c r="M918">
        <v>1</v>
      </c>
      <c r="N918">
        <v>0</v>
      </c>
      <c r="O918" t="s">
        <v>21</v>
      </c>
      <c r="P918" t="str" cm="1">
        <f t="array" ref="P91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19" spans="1:16">
      <c r="A919">
        <v>5268</v>
      </c>
      <c r="B919" t="s">
        <v>49</v>
      </c>
      <c r="C919" t="s">
        <v>16</v>
      </c>
      <c r="D919">
        <v>114.08</v>
      </c>
      <c r="E919">
        <v>18</v>
      </c>
      <c r="F919" t="s">
        <v>17</v>
      </c>
      <c r="G919" t="s">
        <v>53</v>
      </c>
      <c r="H919" t="s">
        <v>41</v>
      </c>
      <c r="I919" t="s">
        <v>20</v>
      </c>
      <c r="J919">
        <v>0</v>
      </c>
      <c r="K919">
        <v>1</v>
      </c>
      <c r="L919">
        <v>27</v>
      </c>
      <c r="M919">
        <v>2</v>
      </c>
      <c r="N919">
        <v>0</v>
      </c>
      <c r="O919" t="s">
        <v>21</v>
      </c>
      <c r="P919" t="str" cm="1">
        <f t="array" ref="P91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0" spans="1:16">
      <c r="A920">
        <v>4051</v>
      </c>
      <c r="B920" t="s">
        <v>37</v>
      </c>
      <c r="C920" t="s">
        <v>16</v>
      </c>
      <c r="D920">
        <v>490.44</v>
      </c>
      <c r="E920">
        <v>21</v>
      </c>
      <c r="F920" t="s">
        <v>17</v>
      </c>
      <c r="G920" t="s">
        <v>53</v>
      </c>
      <c r="H920" t="s">
        <v>41</v>
      </c>
      <c r="I920" t="s">
        <v>20</v>
      </c>
      <c r="J920">
        <v>0</v>
      </c>
      <c r="K920">
        <v>0</v>
      </c>
      <c r="L920">
        <v>84</v>
      </c>
      <c r="M920">
        <v>2</v>
      </c>
      <c r="N920">
        <v>0</v>
      </c>
      <c r="O920" t="s">
        <v>21</v>
      </c>
      <c r="P920" t="str" cm="1">
        <f t="array" ref="P92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1" spans="1:16">
      <c r="A921">
        <v>1047</v>
      </c>
      <c r="B921" t="s">
        <v>56</v>
      </c>
      <c r="C921" t="s">
        <v>52</v>
      </c>
      <c r="D921">
        <v>47.74</v>
      </c>
      <c r="E921">
        <v>7</v>
      </c>
      <c r="F921" t="s">
        <v>29</v>
      </c>
      <c r="G921" t="s">
        <v>24</v>
      </c>
      <c r="H921" t="s">
        <v>35</v>
      </c>
      <c r="I921" t="s">
        <v>20</v>
      </c>
      <c r="J921">
        <v>0</v>
      </c>
      <c r="K921">
        <v>0</v>
      </c>
      <c r="L921">
        <v>50</v>
      </c>
      <c r="M921">
        <v>1</v>
      </c>
      <c r="N921">
        <v>0</v>
      </c>
      <c r="O921" t="s">
        <v>21</v>
      </c>
      <c r="P921" t="str" cm="1">
        <f t="array" ref="P92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2" spans="1:16">
      <c r="A922">
        <v>6963</v>
      </c>
      <c r="B922" t="s">
        <v>45</v>
      </c>
      <c r="C922" t="s">
        <v>28</v>
      </c>
      <c r="D922">
        <v>553.08000000000004</v>
      </c>
      <c r="E922">
        <v>0</v>
      </c>
      <c r="F922" t="s">
        <v>29</v>
      </c>
      <c r="G922" t="s">
        <v>18</v>
      </c>
      <c r="H922" t="s">
        <v>35</v>
      </c>
      <c r="I922" t="s">
        <v>20</v>
      </c>
      <c r="J922">
        <v>1</v>
      </c>
      <c r="K922">
        <v>0</v>
      </c>
      <c r="L922">
        <v>85</v>
      </c>
      <c r="M922">
        <v>1</v>
      </c>
      <c r="N922">
        <v>0</v>
      </c>
      <c r="O922" t="s">
        <v>21</v>
      </c>
      <c r="P922" t="str" cm="1">
        <f t="array" ref="P922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923" spans="1:16">
      <c r="A923">
        <v>8067</v>
      </c>
      <c r="B923" t="s">
        <v>37</v>
      </c>
      <c r="C923" t="s">
        <v>16</v>
      </c>
      <c r="D923">
        <v>118.1</v>
      </c>
      <c r="E923">
        <v>8</v>
      </c>
      <c r="F923" t="s">
        <v>50</v>
      </c>
      <c r="G923" t="s">
        <v>24</v>
      </c>
      <c r="H923" t="s">
        <v>35</v>
      </c>
      <c r="I923" t="s">
        <v>20</v>
      </c>
      <c r="J923">
        <v>0</v>
      </c>
      <c r="K923">
        <v>0</v>
      </c>
      <c r="L923">
        <v>45</v>
      </c>
      <c r="M923">
        <v>0</v>
      </c>
      <c r="N923">
        <v>0</v>
      </c>
      <c r="O923" t="s">
        <v>21</v>
      </c>
      <c r="P923" t="str" cm="1">
        <f t="array" ref="P92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4" spans="1:16">
      <c r="A924">
        <v>1743</v>
      </c>
      <c r="B924" t="s">
        <v>22</v>
      </c>
      <c r="C924" t="s">
        <v>23</v>
      </c>
      <c r="D924">
        <v>264</v>
      </c>
      <c r="E924">
        <v>21</v>
      </c>
      <c r="F924" t="s">
        <v>17</v>
      </c>
      <c r="G924" t="s">
        <v>38</v>
      </c>
      <c r="H924" t="s">
        <v>35</v>
      </c>
      <c r="I924" t="s">
        <v>20</v>
      </c>
      <c r="J924">
        <v>0</v>
      </c>
      <c r="K924">
        <v>0</v>
      </c>
      <c r="L924">
        <v>25</v>
      </c>
      <c r="M924">
        <v>0</v>
      </c>
      <c r="N924">
        <v>0</v>
      </c>
      <c r="O924" t="s">
        <v>21</v>
      </c>
      <c r="P924" t="str" cm="1">
        <f t="array" ref="P92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5" spans="1:16">
      <c r="A925">
        <v>4751</v>
      </c>
      <c r="B925" t="s">
        <v>60</v>
      </c>
      <c r="C925" t="s">
        <v>23</v>
      </c>
      <c r="D925">
        <v>75.13</v>
      </c>
      <c r="E925">
        <v>2</v>
      </c>
      <c r="F925" t="s">
        <v>50</v>
      </c>
      <c r="G925" t="s">
        <v>24</v>
      </c>
      <c r="H925" t="s">
        <v>48</v>
      </c>
      <c r="I925" t="s">
        <v>20</v>
      </c>
      <c r="J925">
        <v>0</v>
      </c>
      <c r="K925">
        <v>0</v>
      </c>
      <c r="L925">
        <v>83</v>
      </c>
      <c r="M925">
        <v>3</v>
      </c>
      <c r="N925">
        <v>0</v>
      </c>
      <c r="O925" t="s">
        <v>21</v>
      </c>
      <c r="P925" t="str" cm="1">
        <f t="array" ref="P92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6" spans="1:16">
      <c r="A926">
        <v>5075</v>
      </c>
      <c r="B926" t="s">
        <v>40</v>
      </c>
      <c r="C926" t="s">
        <v>33</v>
      </c>
      <c r="D926">
        <v>646.59</v>
      </c>
      <c r="E926">
        <v>10</v>
      </c>
      <c r="F926" t="s">
        <v>29</v>
      </c>
      <c r="G926" t="s">
        <v>18</v>
      </c>
      <c r="H926" t="s">
        <v>48</v>
      </c>
      <c r="I926" t="s">
        <v>26</v>
      </c>
      <c r="J926">
        <v>0</v>
      </c>
      <c r="K926">
        <v>0</v>
      </c>
      <c r="L926">
        <v>46</v>
      </c>
      <c r="M926">
        <v>2</v>
      </c>
      <c r="N926">
        <v>0</v>
      </c>
      <c r="O926" t="s">
        <v>21</v>
      </c>
      <c r="P926" t="str" cm="1">
        <f t="array" ref="P926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927" spans="1:16">
      <c r="A927">
        <v>3027</v>
      </c>
      <c r="B927" t="s">
        <v>61</v>
      </c>
      <c r="C927" t="s">
        <v>28</v>
      </c>
      <c r="D927">
        <v>520.28</v>
      </c>
      <c r="E927">
        <v>8</v>
      </c>
      <c r="F927" t="s">
        <v>17</v>
      </c>
      <c r="G927" t="s">
        <v>53</v>
      </c>
      <c r="H927" t="s">
        <v>35</v>
      </c>
      <c r="I927" t="s">
        <v>26</v>
      </c>
      <c r="J927">
        <v>0</v>
      </c>
      <c r="K927">
        <v>0</v>
      </c>
      <c r="L927">
        <v>55</v>
      </c>
      <c r="M927">
        <v>2</v>
      </c>
      <c r="N927">
        <v>0</v>
      </c>
      <c r="O927" t="s">
        <v>21</v>
      </c>
      <c r="P927" t="str" cm="1">
        <f t="array" ref="P927">_xlfn.IFS(FraudData[[#This Row],[amount]]&lt;500,"Below 500",FraudData[[#This Row],[amount]]&lt;1000,"500-999",FraudData[[#This Row],[amount]]&lt;5000,"1000-4999",FraudData[[#This Row],[amount]]&lt;10000,"5000-9999",TRUE,"10000+")</f>
        <v>500-999</v>
      </c>
    </row>
    <row r="928" spans="1:16">
      <c r="A928">
        <v>163</v>
      </c>
      <c r="B928" t="s">
        <v>39</v>
      </c>
      <c r="C928" t="s">
        <v>28</v>
      </c>
      <c r="D928">
        <v>180.69</v>
      </c>
      <c r="E928">
        <v>14</v>
      </c>
      <c r="F928" t="s">
        <v>29</v>
      </c>
      <c r="G928" t="s">
        <v>24</v>
      </c>
      <c r="H928" t="s">
        <v>48</v>
      </c>
      <c r="I928" t="s">
        <v>31</v>
      </c>
      <c r="J928">
        <v>0</v>
      </c>
      <c r="K928">
        <v>1</v>
      </c>
      <c r="L928">
        <v>75</v>
      </c>
      <c r="M928">
        <v>2</v>
      </c>
      <c r="N928">
        <v>0</v>
      </c>
      <c r="O928" t="s">
        <v>21</v>
      </c>
      <c r="P928" t="str" cm="1">
        <f t="array" ref="P92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29" spans="1:16">
      <c r="A929">
        <v>6319</v>
      </c>
      <c r="B929" t="s">
        <v>64</v>
      </c>
      <c r="C929" t="s">
        <v>23</v>
      </c>
      <c r="D929">
        <v>187.8</v>
      </c>
      <c r="E929">
        <v>6</v>
      </c>
      <c r="F929" t="s">
        <v>29</v>
      </c>
      <c r="G929" t="s">
        <v>18</v>
      </c>
      <c r="H929" t="s">
        <v>30</v>
      </c>
      <c r="I929" t="s">
        <v>25</v>
      </c>
      <c r="J929">
        <v>0</v>
      </c>
      <c r="K929">
        <v>0</v>
      </c>
      <c r="L929">
        <v>83</v>
      </c>
      <c r="M929">
        <v>4</v>
      </c>
      <c r="N929">
        <v>0</v>
      </c>
      <c r="O929" t="s">
        <v>21</v>
      </c>
      <c r="P929" t="str" cm="1">
        <f t="array" ref="P92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0" spans="1:16">
      <c r="A930">
        <v>1884</v>
      </c>
      <c r="B930" t="s">
        <v>37</v>
      </c>
      <c r="C930" t="s">
        <v>16</v>
      </c>
      <c r="D930">
        <v>257.72000000000003</v>
      </c>
      <c r="E930">
        <v>8</v>
      </c>
      <c r="F930" t="s">
        <v>29</v>
      </c>
      <c r="G930" t="s">
        <v>18</v>
      </c>
      <c r="H930" t="s">
        <v>48</v>
      </c>
      <c r="I930" t="s">
        <v>26</v>
      </c>
      <c r="J930">
        <v>0</v>
      </c>
      <c r="K930">
        <v>0</v>
      </c>
      <c r="L930">
        <v>43</v>
      </c>
      <c r="M930">
        <v>2</v>
      </c>
      <c r="N930">
        <v>0</v>
      </c>
      <c r="O930" t="s">
        <v>21</v>
      </c>
      <c r="P930" t="str" cm="1">
        <f t="array" ref="P93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1" spans="1:16">
      <c r="A931">
        <v>1064</v>
      </c>
      <c r="B931" t="s">
        <v>74</v>
      </c>
      <c r="C931" t="s">
        <v>28</v>
      </c>
      <c r="D931">
        <v>97.36</v>
      </c>
      <c r="E931">
        <v>13</v>
      </c>
      <c r="F931" t="s">
        <v>50</v>
      </c>
      <c r="G931" t="s">
        <v>24</v>
      </c>
      <c r="H931" t="s">
        <v>35</v>
      </c>
      <c r="I931" t="s">
        <v>26</v>
      </c>
      <c r="J931">
        <v>0</v>
      </c>
      <c r="K931">
        <v>1</v>
      </c>
      <c r="L931">
        <v>85</v>
      </c>
      <c r="M931">
        <v>5</v>
      </c>
      <c r="N931">
        <v>0</v>
      </c>
      <c r="O931" t="s">
        <v>21</v>
      </c>
      <c r="P931" t="str" cm="1">
        <f t="array" ref="P93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2" spans="1:16">
      <c r="A932">
        <v>1487</v>
      </c>
      <c r="B932" t="s">
        <v>46</v>
      </c>
      <c r="C932" t="s">
        <v>23</v>
      </c>
      <c r="D932">
        <v>90.8</v>
      </c>
      <c r="E932">
        <v>23</v>
      </c>
      <c r="F932" t="s">
        <v>29</v>
      </c>
      <c r="G932" t="s">
        <v>24</v>
      </c>
      <c r="H932" t="s">
        <v>30</v>
      </c>
      <c r="I932" t="s">
        <v>20</v>
      </c>
      <c r="J932">
        <v>0</v>
      </c>
      <c r="K932">
        <v>0</v>
      </c>
      <c r="L932">
        <v>86</v>
      </c>
      <c r="M932">
        <v>1</v>
      </c>
      <c r="N932">
        <v>0</v>
      </c>
      <c r="O932" t="s">
        <v>21</v>
      </c>
      <c r="P932" t="str" cm="1">
        <f t="array" ref="P93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3" spans="1:16">
      <c r="A933">
        <v>8050</v>
      </c>
      <c r="B933" t="s">
        <v>45</v>
      </c>
      <c r="C933" t="s">
        <v>28</v>
      </c>
      <c r="D933">
        <v>26.87</v>
      </c>
      <c r="E933">
        <v>0</v>
      </c>
      <c r="F933" t="s">
        <v>34</v>
      </c>
      <c r="G933" t="s">
        <v>18</v>
      </c>
      <c r="H933" t="s">
        <v>41</v>
      </c>
      <c r="I933" t="s">
        <v>20</v>
      </c>
      <c r="J933">
        <v>0</v>
      </c>
      <c r="K933">
        <v>1</v>
      </c>
      <c r="L933">
        <v>32</v>
      </c>
      <c r="M933">
        <v>0</v>
      </c>
      <c r="N933">
        <v>1</v>
      </c>
      <c r="O933" t="s">
        <v>36</v>
      </c>
      <c r="P933" t="str" cm="1">
        <f t="array" ref="P93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4" spans="1:16">
      <c r="A934">
        <v>6156</v>
      </c>
      <c r="B934" t="s">
        <v>57</v>
      </c>
      <c r="C934" t="s">
        <v>43</v>
      </c>
      <c r="D934">
        <v>5.94</v>
      </c>
      <c r="E934">
        <v>5</v>
      </c>
      <c r="F934" t="s">
        <v>17</v>
      </c>
      <c r="G934" t="s">
        <v>18</v>
      </c>
      <c r="H934" t="s">
        <v>48</v>
      </c>
      <c r="I934" t="s">
        <v>31</v>
      </c>
      <c r="J934">
        <v>1</v>
      </c>
      <c r="K934">
        <v>0</v>
      </c>
      <c r="L934">
        <v>96</v>
      </c>
      <c r="M934">
        <v>1</v>
      </c>
      <c r="N934">
        <v>0</v>
      </c>
      <c r="O934" t="s">
        <v>21</v>
      </c>
      <c r="P934" t="str" cm="1">
        <f t="array" ref="P93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5" spans="1:16">
      <c r="A935">
        <v>2385</v>
      </c>
      <c r="B935" t="s">
        <v>60</v>
      </c>
      <c r="C935" t="s">
        <v>23</v>
      </c>
      <c r="D935">
        <v>69.12</v>
      </c>
      <c r="E935">
        <v>2</v>
      </c>
      <c r="F935" t="s">
        <v>50</v>
      </c>
      <c r="G935" t="s">
        <v>24</v>
      </c>
      <c r="H935" t="s">
        <v>19</v>
      </c>
      <c r="I935" t="s">
        <v>31</v>
      </c>
      <c r="J935">
        <v>0</v>
      </c>
      <c r="K935">
        <v>0</v>
      </c>
      <c r="L935">
        <v>56</v>
      </c>
      <c r="M935">
        <v>0</v>
      </c>
      <c r="N935">
        <v>0</v>
      </c>
      <c r="O935" t="s">
        <v>21</v>
      </c>
      <c r="P935" t="str" cm="1">
        <f t="array" ref="P93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6" spans="1:16">
      <c r="A936">
        <v>8669</v>
      </c>
      <c r="B936" t="s">
        <v>46</v>
      </c>
      <c r="C936" t="s">
        <v>23</v>
      </c>
      <c r="D936">
        <v>52.32</v>
      </c>
      <c r="E936">
        <v>4</v>
      </c>
      <c r="F936" t="s">
        <v>29</v>
      </c>
      <c r="G936" t="s">
        <v>24</v>
      </c>
      <c r="H936" t="s">
        <v>35</v>
      </c>
      <c r="I936" t="s">
        <v>20</v>
      </c>
      <c r="J936">
        <v>0</v>
      </c>
      <c r="K936">
        <v>0</v>
      </c>
      <c r="L936">
        <v>70</v>
      </c>
      <c r="M936">
        <v>2</v>
      </c>
      <c r="N936">
        <v>0</v>
      </c>
      <c r="O936" t="s">
        <v>21</v>
      </c>
      <c r="P936" t="str" cm="1">
        <f t="array" ref="P93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7" spans="1:16">
      <c r="A937">
        <v>56</v>
      </c>
      <c r="B937" t="s">
        <v>45</v>
      </c>
      <c r="C937" t="s">
        <v>28</v>
      </c>
      <c r="D937">
        <v>458.9</v>
      </c>
      <c r="E937">
        <v>5</v>
      </c>
      <c r="F937" t="s">
        <v>19</v>
      </c>
      <c r="G937" t="s">
        <v>24</v>
      </c>
      <c r="H937" t="s">
        <v>30</v>
      </c>
      <c r="I937" t="s">
        <v>31</v>
      </c>
      <c r="J937">
        <v>0</v>
      </c>
      <c r="K937">
        <v>0</v>
      </c>
      <c r="L937">
        <v>39</v>
      </c>
      <c r="M937">
        <v>1</v>
      </c>
      <c r="N937">
        <v>0</v>
      </c>
      <c r="O937" t="s">
        <v>21</v>
      </c>
      <c r="P937" t="str" cm="1">
        <f t="array" ref="P93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8" spans="1:16">
      <c r="A938">
        <v>4138</v>
      </c>
      <c r="B938" t="s">
        <v>61</v>
      </c>
      <c r="C938" t="s">
        <v>28</v>
      </c>
      <c r="D938">
        <v>70.36</v>
      </c>
      <c r="E938">
        <v>7</v>
      </c>
      <c r="F938" t="s">
        <v>29</v>
      </c>
      <c r="G938" t="s">
        <v>24</v>
      </c>
      <c r="H938" t="s">
        <v>41</v>
      </c>
      <c r="I938" t="s">
        <v>25</v>
      </c>
      <c r="J938">
        <v>0</v>
      </c>
      <c r="K938">
        <v>0</v>
      </c>
      <c r="L938">
        <v>81</v>
      </c>
      <c r="M938">
        <v>3</v>
      </c>
      <c r="N938">
        <v>0</v>
      </c>
      <c r="O938" t="s">
        <v>21</v>
      </c>
      <c r="P938" t="str" cm="1">
        <f t="array" ref="P93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39" spans="1:16">
      <c r="A939">
        <v>2449</v>
      </c>
      <c r="B939" t="s">
        <v>45</v>
      </c>
      <c r="C939" t="s">
        <v>28</v>
      </c>
      <c r="D939">
        <v>10.69</v>
      </c>
      <c r="E939">
        <v>6</v>
      </c>
      <c r="F939" t="s">
        <v>19</v>
      </c>
      <c r="G939" t="s">
        <v>38</v>
      </c>
      <c r="H939" t="s">
        <v>48</v>
      </c>
      <c r="I939" t="s">
        <v>26</v>
      </c>
      <c r="J939">
        <v>1</v>
      </c>
      <c r="K939">
        <v>0</v>
      </c>
      <c r="L939">
        <v>65</v>
      </c>
      <c r="M939">
        <v>2</v>
      </c>
      <c r="N939">
        <v>0</v>
      </c>
      <c r="O939" t="s">
        <v>21</v>
      </c>
      <c r="P939" t="str" cm="1">
        <f t="array" ref="P93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0" spans="1:16">
      <c r="A940">
        <v>5355</v>
      </c>
      <c r="B940" t="s">
        <v>60</v>
      </c>
      <c r="C940" t="s">
        <v>23</v>
      </c>
      <c r="D940">
        <v>137.18</v>
      </c>
      <c r="E940">
        <v>0</v>
      </c>
      <c r="F940" t="s">
        <v>50</v>
      </c>
      <c r="G940" t="s">
        <v>18</v>
      </c>
      <c r="H940" t="s">
        <v>35</v>
      </c>
      <c r="I940" t="s">
        <v>31</v>
      </c>
      <c r="J940">
        <v>0</v>
      </c>
      <c r="K940">
        <v>1</v>
      </c>
      <c r="L940">
        <v>29</v>
      </c>
      <c r="M940">
        <v>2</v>
      </c>
      <c r="N940">
        <v>1</v>
      </c>
      <c r="O940" t="s">
        <v>36</v>
      </c>
      <c r="P940" t="str" cm="1">
        <f t="array" ref="P94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1" spans="1:16">
      <c r="A941">
        <v>6034</v>
      </c>
      <c r="B941" t="s">
        <v>45</v>
      </c>
      <c r="C941" t="s">
        <v>28</v>
      </c>
      <c r="D941">
        <v>47.91</v>
      </c>
      <c r="E941">
        <v>7</v>
      </c>
      <c r="F941" t="s">
        <v>29</v>
      </c>
      <c r="G941" t="s">
        <v>44</v>
      </c>
      <c r="H941" t="s">
        <v>30</v>
      </c>
      <c r="I941" t="s">
        <v>26</v>
      </c>
      <c r="J941">
        <v>0</v>
      </c>
      <c r="K941">
        <v>0</v>
      </c>
      <c r="L941">
        <v>47</v>
      </c>
      <c r="M941">
        <v>3</v>
      </c>
      <c r="N941">
        <v>0</v>
      </c>
      <c r="O941" t="s">
        <v>21</v>
      </c>
      <c r="P941" t="str" cm="1">
        <f t="array" ref="P94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2" spans="1:16">
      <c r="A942">
        <v>6213</v>
      </c>
      <c r="B942" t="s">
        <v>27</v>
      </c>
      <c r="C942" t="s">
        <v>28</v>
      </c>
      <c r="D942">
        <v>92.24</v>
      </c>
      <c r="E942">
        <v>1</v>
      </c>
      <c r="F942" t="s">
        <v>50</v>
      </c>
      <c r="G942" t="s">
        <v>24</v>
      </c>
      <c r="H942" t="s">
        <v>19</v>
      </c>
      <c r="I942" t="s">
        <v>20</v>
      </c>
      <c r="J942">
        <v>1</v>
      </c>
      <c r="K942">
        <v>0</v>
      </c>
      <c r="L942">
        <v>39</v>
      </c>
      <c r="M942">
        <v>0</v>
      </c>
      <c r="N942">
        <v>1</v>
      </c>
      <c r="O942" t="s">
        <v>36</v>
      </c>
      <c r="P942" t="str" cm="1">
        <f t="array" ref="P94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3" spans="1:16">
      <c r="A943">
        <v>955</v>
      </c>
      <c r="B943" t="s">
        <v>22</v>
      </c>
      <c r="C943" t="s">
        <v>23</v>
      </c>
      <c r="D943">
        <v>97.67</v>
      </c>
      <c r="E943">
        <v>14</v>
      </c>
      <c r="F943" t="s">
        <v>17</v>
      </c>
      <c r="G943" t="s">
        <v>24</v>
      </c>
      <c r="H943" t="s">
        <v>35</v>
      </c>
      <c r="I943" t="s">
        <v>31</v>
      </c>
      <c r="J943">
        <v>1</v>
      </c>
      <c r="K943">
        <v>0</v>
      </c>
      <c r="L943">
        <v>89</v>
      </c>
      <c r="M943">
        <v>0</v>
      </c>
      <c r="N943">
        <v>0</v>
      </c>
      <c r="O943" t="s">
        <v>21</v>
      </c>
      <c r="P943" t="str" cm="1">
        <f t="array" ref="P94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4" spans="1:16">
      <c r="A944">
        <v>5416</v>
      </c>
      <c r="B944" t="s">
        <v>60</v>
      </c>
      <c r="C944" t="s">
        <v>23</v>
      </c>
      <c r="D944">
        <v>87.88</v>
      </c>
      <c r="E944">
        <v>1</v>
      </c>
      <c r="F944" t="s">
        <v>19</v>
      </c>
      <c r="G944" t="s">
        <v>24</v>
      </c>
      <c r="H944" t="s">
        <v>19</v>
      </c>
      <c r="I944" t="s">
        <v>20</v>
      </c>
      <c r="J944">
        <v>0</v>
      </c>
      <c r="K944">
        <v>0</v>
      </c>
      <c r="L944">
        <v>63</v>
      </c>
      <c r="M944">
        <v>4</v>
      </c>
      <c r="N944">
        <v>0</v>
      </c>
      <c r="O944" t="s">
        <v>21</v>
      </c>
      <c r="P944" t="str" cm="1">
        <f t="array" ref="P94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5" spans="1:16">
      <c r="A945">
        <v>8939</v>
      </c>
      <c r="B945" t="s">
        <v>45</v>
      </c>
      <c r="C945" t="s">
        <v>28</v>
      </c>
      <c r="D945">
        <v>88.76</v>
      </c>
      <c r="E945">
        <v>18</v>
      </c>
      <c r="F945" t="s">
        <v>50</v>
      </c>
      <c r="G945" t="s">
        <v>24</v>
      </c>
      <c r="H945" t="s">
        <v>48</v>
      </c>
      <c r="I945" t="s">
        <v>20</v>
      </c>
      <c r="J945">
        <v>1</v>
      </c>
      <c r="K945">
        <v>0</v>
      </c>
      <c r="L945">
        <v>29</v>
      </c>
      <c r="M945">
        <v>0</v>
      </c>
      <c r="N945">
        <v>0</v>
      </c>
      <c r="O945" t="s">
        <v>21</v>
      </c>
      <c r="P945" t="str" cm="1">
        <f t="array" ref="P94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6" spans="1:16">
      <c r="A946">
        <v>8867</v>
      </c>
      <c r="B946" t="s">
        <v>40</v>
      </c>
      <c r="C946" t="s">
        <v>33</v>
      </c>
      <c r="D946">
        <v>97.43</v>
      </c>
      <c r="E946">
        <v>11</v>
      </c>
      <c r="F946" t="s">
        <v>19</v>
      </c>
      <c r="G946" t="s">
        <v>24</v>
      </c>
      <c r="H946" t="s">
        <v>19</v>
      </c>
      <c r="I946" t="s">
        <v>20</v>
      </c>
      <c r="J946">
        <v>0</v>
      </c>
      <c r="K946">
        <v>0</v>
      </c>
      <c r="L946">
        <v>98</v>
      </c>
      <c r="M946">
        <v>1</v>
      </c>
      <c r="N946">
        <v>0</v>
      </c>
      <c r="O946" t="s">
        <v>21</v>
      </c>
      <c r="P946" t="str" cm="1">
        <f t="array" ref="P94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7" spans="1:16">
      <c r="A947">
        <v>6049</v>
      </c>
      <c r="B947" t="s">
        <v>40</v>
      </c>
      <c r="C947" t="s">
        <v>33</v>
      </c>
      <c r="D947">
        <v>303.37</v>
      </c>
      <c r="E947">
        <v>8</v>
      </c>
      <c r="F947" t="s">
        <v>19</v>
      </c>
      <c r="G947" t="s">
        <v>18</v>
      </c>
      <c r="H947" t="s">
        <v>19</v>
      </c>
      <c r="I947" t="s">
        <v>20</v>
      </c>
      <c r="J947">
        <v>0</v>
      </c>
      <c r="K947">
        <v>0</v>
      </c>
      <c r="L947">
        <v>71</v>
      </c>
      <c r="M947">
        <v>2</v>
      </c>
      <c r="N947">
        <v>0</v>
      </c>
      <c r="O947" t="s">
        <v>21</v>
      </c>
      <c r="P947" t="str" cm="1">
        <f t="array" ref="P94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8" spans="1:16">
      <c r="A948">
        <v>8976</v>
      </c>
      <c r="B948" t="s">
        <v>60</v>
      </c>
      <c r="C948" t="s">
        <v>23</v>
      </c>
      <c r="D948">
        <v>145.47</v>
      </c>
      <c r="E948">
        <v>6</v>
      </c>
      <c r="F948" t="s">
        <v>29</v>
      </c>
      <c r="G948" t="s">
        <v>24</v>
      </c>
      <c r="H948" t="s">
        <v>35</v>
      </c>
      <c r="I948" t="s">
        <v>26</v>
      </c>
      <c r="J948">
        <v>0</v>
      </c>
      <c r="K948">
        <v>0</v>
      </c>
      <c r="L948">
        <v>84</v>
      </c>
      <c r="M948">
        <v>1</v>
      </c>
      <c r="N948">
        <v>0</v>
      </c>
      <c r="O948" t="s">
        <v>21</v>
      </c>
      <c r="P948" t="str" cm="1">
        <f t="array" ref="P94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49" spans="1:16">
      <c r="A949">
        <v>2567</v>
      </c>
      <c r="B949" t="s">
        <v>45</v>
      </c>
      <c r="C949" t="s">
        <v>28</v>
      </c>
      <c r="D949">
        <v>47.6</v>
      </c>
      <c r="E949">
        <v>22</v>
      </c>
      <c r="F949" t="s">
        <v>17</v>
      </c>
      <c r="G949" t="s">
        <v>24</v>
      </c>
      <c r="H949" t="s">
        <v>25</v>
      </c>
      <c r="I949" t="s">
        <v>20</v>
      </c>
      <c r="J949">
        <v>0</v>
      </c>
      <c r="K949">
        <v>0</v>
      </c>
      <c r="L949">
        <v>80</v>
      </c>
      <c r="M949">
        <v>0</v>
      </c>
      <c r="N949">
        <v>0</v>
      </c>
      <c r="O949" t="s">
        <v>21</v>
      </c>
      <c r="P949" t="str" cm="1">
        <f t="array" ref="P94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0" spans="1:16">
      <c r="A950">
        <v>8238</v>
      </c>
      <c r="B950" t="s">
        <v>37</v>
      </c>
      <c r="C950" t="s">
        <v>16</v>
      </c>
      <c r="D950">
        <v>283.25</v>
      </c>
      <c r="E950">
        <v>20</v>
      </c>
      <c r="F950" t="s">
        <v>50</v>
      </c>
      <c r="G950" t="s">
        <v>24</v>
      </c>
      <c r="H950" t="s">
        <v>35</v>
      </c>
      <c r="I950" t="s">
        <v>20</v>
      </c>
      <c r="J950">
        <v>0</v>
      </c>
      <c r="K950">
        <v>0</v>
      </c>
      <c r="L950">
        <v>97</v>
      </c>
      <c r="M950">
        <v>3</v>
      </c>
      <c r="N950">
        <v>0</v>
      </c>
      <c r="O950" t="s">
        <v>21</v>
      </c>
      <c r="P950" t="str" cm="1">
        <f t="array" ref="P95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1" spans="1:16">
      <c r="A951">
        <v>4425</v>
      </c>
      <c r="B951" t="s">
        <v>22</v>
      </c>
      <c r="C951" t="s">
        <v>23</v>
      </c>
      <c r="D951">
        <v>68.2</v>
      </c>
      <c r="E951">
        <v>17</v>
      </c>
      <c r="F951" t="s">
        <v>17</v>
      </c>
      <c r="G951" t="s">
        <v>24</v>
      </c>
      <c r="H951" t="s">
        <v>30</v>
      </c>
      <c r="I951" t="s">
        <v>20</v>
      </c>
      <c r="J951">
        <v>0</v>
      </c>
      <c r="K951">
        <v>0</v>
      </c>
      <c r="L951">
        <v>63</v>
      </c>
      <c r="M951">
        <v>3</v>
      </c>
      <c r="N951">
        <v>0</v>
      </c>
      <c r="O951" t="s">
        <v>21</v>
      </c>
      <c r="P951" t="str" cm="1">
        <f t="array" ref="P95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2" spans="1:16">
      <c r="A952">
        <v>9893</v>
      </c>
      <c r="B952" t="s">
        <v>59</v>
      </c>
      <c r="C952" t="s">
        <v>16</v>
      </c>
      <c r="D952">
        <v>300.7</v>
      </c>
      <c r="E952">
        <v>23</v>
      </c>
      <c r="F952" t="s">
        <v>50</v>
      </c>
      <c r="G952" t="s">
        <v>24</v>
      </c>
      <c r="H952" t="s">
        <v>19</v>
      </c>
      <c r="I952" t="s">
        <v>20</v>
      </c>
      <c r="J952">
        <v>0</v>
      </c>
      <c r="K952">
        <v>0</v>
      </c>
      <c r="L952">
        <v>81</v>
      </c>
      <c r="M952">
        <v>1</v>
      </c>
      <c r="N952">
        <v>0</v>
      </c>
      <c r="O952" t="s">
        <v>21</v>
      </c>
      <c r="P952" t="str" cm="1">
        <f t="array" ref="P95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3" spans="1:16">
      <c r="A953">
        <v>1008</v>
      </c>
      <c r="B953" t="s">
        <v>37</v>
      </c>
      <c r="C953" t="s">
        <v>16</v>
      </c>
      <c r="D953">
        <v>340.52</v>
      </c>
      <c r="E953">
        <v>1</v>
      </c>
      <c r="F953" t="s">
        <v>50</v>
      </c>
      <c r="G953" t="s">
        <v>53</v>
      </c>
      <c r="H953" t="s">
        <v>30</v>
      </c>
      <c r="I953" t="s">
        <v>20</v>
      </c>
      <c r="J953">
        <v>1</v>
      </c>
      <c r="K953">
        <v>0</v>
      </c>
      <c r="L953">
        <v>29</v>
      </c>
      <c r="M953">
        <v>1</v>
      </c>
      <c r="N953">
        <v>1</v>
      </c>
      <c r="O953" t="s">
        <v>36</v>
      </c>
      <c r="P953" t="str" cm="1">
        <f t="array" ref="P95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4" spans="1:16">
      <c r="A954">
        <v>4140</v>
      </c>
      <c r="B954" t="s">
        <v>54</v>
      </c>
      <c r="C954" t="s">
        <v>28</v>
      </c>
      <c r="D954">
        <v>146.38</v>
      </c>
      <c r="E954">
        <v>6</v>
      </c>
      <c r="F954" t="s">
        <v>19</v>
      </c>
      <c r="G954" t="s">
        <v>38</v>
      </c>
      <c r="H954" t="s">
        <v>41</v>
      </c>
      <c r="I954" t="s">
        <v>31</v>
      </c>
      <c r="J954">
        <v>0</v>
      </c>
      <c r="K954">
        <v>0</v>
      </c>
      <c r="L954">
        <v>75</v>
      </c>
      <c r="M954">
        <v>1</v>
      </c>
      <c r="N954">
        <v>0</v>
      </c>
      <c r="O954" t="s">
        <v>21</v>
      </c>
      <c r="P954" t="str" cm="1">
        <f t="array" ref="P95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5" spans="1:16">
      <c r="A955">
        <v>5510</v>
      </c>
      <c r="B955" t="s">
        <v>46</v>
      </c>
      <c r="C955" t="s">
        <v>23</v>
      </c>
      <c r="D955">
        <v>112.25</v>
      </c>
      <c r="E955">
        <v>1</v>
      </c>
      <c r="F955" t="s">
        <v>50</v>
      </c>
      <c r="G955" t="s">
        <v>24</v>
      </c>
      <c r="H955" t="s">
        <v>19</v>
      </c>
      <c r="I955" t="s">
        <v>20</v>
      </c>
      <c r="J955">
        <v>0</v>
      </c>
      <c r="K955">
        <v>0</v>
      </c>
      <c r="L955">
        <v>62</v>
      </c>
      <c r="M955">
        <v>4</v>
      </c>
      <c r="N955">
        <v>0</v>
      </c>
      <c r="O955" t="s">
        <v>21</v>
      </c>
      <c r="P955" t="str" cm="1">
        <f t="array" ref="P95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6" spans="1:16">
      <c r="A956">
        <v>7800</v>
      </c>
      <c r="B956" t="s">
        <v>39</v>
      </c>
      <c r="C956" t="s">
        <v>28</v>
      </c>
      <c r="D956">
        <v>55.05</v>
      </c>
      <c r="E956">
        <v>16</v>
      </c>
      <c r="F956" t="s">
        <v>29</v>
      </c>
      <c r="G956" t="s">
        <v>18</v>
      </c>
      <c r="H956" t="s">
        <v>48</v>
      </c>
      <c r="I956" t="s">
        <v>26</v>
      </c>
      <c r="J956">
        <v>0</v>
      </c>
      <c r="K956">
        <v>0</v>
      </c>
      <c r="L956">
        <v>74</v>
      </c>
      <c r="M956">
        <v>1</v>
      </c>
      <c r="N956">
        <v>0</v>
      </c>
      <c r="O956" t="s">
        <v>21</v>
      </c>
      <c r="P956" t="str" cm="1">
        <f t="array" ref="P95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7" spans="1:16">
      <c r="A957">
        <v>583</v>
      </c>
      <c r="B957" t="s">
        <v>45</v>
      </c>
      <c r="C957" t="s">
        <v>28</v>
      </c>
      <c r="D957">
        <v>122.13</v>
      </c>
      <c r="E957">
        <v>1</v>
      </c>
      <c r="F957" t="s">
        <v>19</v>
      </c>
      <c r="G957" t="s">
        <v>44</v>
      </c>
      <c r="H957" t="s">
        <v>25</v>
      </c>
      <c r="I957" t="s">
        <v>20</v>
      </c>
      <c r="J957">
        <v>0</v>
      </c>
      <c r="K957">
        <v>1</v>
      </c>
      <c r="L957">
        <v>28</v>
      </c>
      <c r="M957">
        <v>1</v>
      </c>
      <c r="N957">
        <v>1</v>
      </c>
      <c r="O957" t="s">
        <v>36</v>
      </c>
      <c r="P957" t="str" cm="1">
        <f t="array" ref="P95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8" spans="1:16">
      <c r="A958">
        <v>1400</v>
      </c>
      <c r="B958" t="s">
        <v>42</v>
      </c>
      <c r="C958" t="s">
        <v>43</v>
      </c>
      <c r="D958">
        <v>220.83</v>
      </c>
      <c r="E958">
        <v>11</v>
      </c>
      <c r="F958" t="s">
        <v>17</v>
      </c>
      <c r="G958" t="s">
        <v>24</v>
      </c>
      <c r="H958" t="s">
        <v>48</v>
      </c>
      <c r="I958" t="s">
        <v>20</v>
      </c>
      <c r="J958">
        <v>0</v>
      </c>
      <c r="K958">
        <v>1</v>
      </c>
      <c r="L958">
        <v>69</v>
      </c>
      <c r="M958">
        <v>0</v>
      </c>
      <c r="N958">
        <v>0</v>
      </c>
      <c r="O958" t="s">
        <v>21</v>
      </c>
      <c r="P958" t="str" cm="1">
        <f t="array" ref="P95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59" spans="1:16">
      <c r="A959">
        <v>7572</v>
      </c>
      <c r="B959" t="s">
        <v>45</v>
      </c>
      <c r="C959" t="s">
        <v>28</v>
      </c>
      <c r="D959">
        <v>140.68</v>
      </c>
      <c r="E959">
        <v>3</v>
      </c>
      <c r="F959" t="s">
        <v>50</v>
      </c>
      <c r="G959" t="s">
        <v>18</v>
      </c>
      <c r="H959" t="s">
        <v>35</v>
      </c>
      <c r="I959" t="s">
        <v>26</v>
      </c>
      <c r="J959">
        <v>1</v>
      </c>
      <c r="K959">
        <v>0</v>
      </c>
      <c r="L959">
        <v>31</v>
      </c>
      <c r="M959">
        <v>1</v>
      </c>
      <c r="N959">
        <v>1</v>
      </c>
      <c r="O959" t="s">
        <v>36</v>
      </c>
      <c r="P959" t="str" cm="1">
        <f t="array" ref="P95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0" spans="1:16">
      <c r="A960">
        <v>2704</v>
      </c>
      <c r="B960" t="s">
        <v>45</v>
      </c>
      <c r="C960" t="s">
        <v>28</v>
      </c>
      <c r="D960">
        <v>3.08</v>
      </c>
      <c r="E960">
        <v>0</v>
      </c>
      <c r="F960" t="s">
        <v>19</v>
      </c>
      <c r="G960" t="s">
        <v>38</v>
      </c>
      <c r="H960" t="s">
        <v>48</v>
      </c>
      <c r="I960" t="s">
        <v>20</v>
      </c>
      <c r="J960">
        <v>0</v>
      </c>
      <c r="K960">
        <v>1</v>
      </c>
      <c r="L960">
        <v>67</v>
      </c>
      <c r="M960">
        <v>3</v>
      </c>
      <c r="N960">
        <v>0</v>
      </c>
      <c r="O960" t="s">
        <v>21</v>
      </c>
      <c r="P960" t="str" cm="1">
        <f t="array" ref="P96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1" spans="1:16">
      <c r="A961">
        <v>3066</v>
      </c>
      <c r="B961" t="s">
        <v>15</v>
      </c>
      <c r="C961" t="s">
        <v>16</v>
      </c>
      <c r="D961">
        <v>56.01</v>
      </c>
      <c r="E961">
        <v>20</v>
      </c>
      <c r="F961" t="s">
        <v>50</v>
      </c>
      <c r="G961" t="s">
        <v>24</v>
      </c>
      <c r="H961" t="s">
        <v>19</v>
      </c>
      <c r="I961" t="s">
        <v>25</v>
      </c>
      <c r="J961">
        <v>1</v>
      </c>
      <c r="K961">
        <v>0</v>
      </c>
      <c r="L961">
        <v>64</v>
      </c>
      <c r="M961">
        <v>3</v>
      </c>
      <c r="N961">
        <v>0</v>
      </c>
      <c r="O961" t="s">
        <v>21</v>
      </c>
      <c r="P961" t="str" cm="1">
        <f t="array" ref="P96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2" spans="1:16">
      <c r="A962">
        <v>8156</v>
      </c>
      <c r="B962" t="s">
        <v>39</v>
      </c>
      <c r="C962" t="s">
        <v>28</v>
      </c>
      <c r="D962">
        <v>36</v>
      </c>
      <c r="E962">
        <v>8</v>
      </c>
      <c r="F962" t="s">
        <v>50</v>
      </c>
      <c r="G962" t="s">
        <v>24</v>
      </c>
      <c r="H962" t="s">
        <v>35</v>
      </c>
      <c r="I962" t="s">
        <v>20</v>
      </c>
      <c r="J962">
        <v>0</v>
      </c>
      <c r="K962">
        <v>0</v>
      </c>
      <c r="L962">
        <v>81</v>
      </c>
      <c r="M962">
        <v>1</v>
      </c>
      <c r="N962">
        <v>0</v>
      </c>
      <c r="O962" t="s">
        <v>21</v>
      </c>
      <c r="P962" t="str" cm="1">
        <f t="array" ref="P96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3" spans="1:16">
      <c r="A963">
        <v>9280</v>
      </c>
      <c r="B963" t="s">
        <v>40</v>
      </c>
      <c r="C963" t="s">
        <v>33</v>
      </c>
      <c r="D963">
        <v>14.97</v>
      </c>
      <c r="E963">
        <v>19</v>
      </c>
      <c r="F963" t="s">
        <v>29</v>
      </c>
      <c r="G963" t="s">
        <v>38</v>
      </c>
      <c r="H963" t="s">
        <v>30</v>
      </c>
      <c r="I963" t="s">
        <v>20</v>
      </c>
      <c r="J963">
        <v>0</v>
      </c>
      <c r="K963">
        <v>0</v>
      </c>
      <c r="L963">
        <v>61</v>
      </c>
      <c r="M963">
        <v>1</v>
      </c>
      <c r="N963">
        <v>0</v>
      </c>
      <c r="O963" t="s">
        <v>21</v>
      </c>
      <c r="P963" t="str" cm="1">
        <f t="array" ref="P96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4" spans="1:16">
      <c r="A964">
        <v>9245</v>
      </c>
      <c r="B964" t="s">
        <v>47</v>
      </c>
      <c r="C964" t="s">
        <v>16</v>
      </c>
      <c r="D964">
        <v>122.09</v>
      </c>
      <c r="E964">
        <v>11</v>
      </c>
      <c r="F964" t="s">
        <v>34</v>
      </c>
      <c r="G964" t="s">
        <v>24</v>
      </c>
      <c r="H964" t="s">
        <v>41</v>
      </c>
      <c r="I964" t="s">
        <v>31</v>
      </c>
      <c r="J964">
        <v>0</v>
      </c>
      <c r="K964">
        <v>1</v>
      </c>
      <c r="L964">
        <v>75</v>
      </c>
      <c r="M964">
        <v>2</v>
      </c>
      <c r="N964">
        <v>0</v>
      </c>
      <c r="O964" t="s">
        <v>21</v>
      </c>
      <c r="P964" t="str" cm="1">
        <f t="array" ref="P96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5" spans="1:16">
      <c r="A965">
        <v>9826</v>
      </c>
      <c r="B965" t="s">
        <v>63</v>
      </c>
      <c r="C965" t="s">
        <v>28</v>
      </c>
      <c r="D965">
        <v>282.33</v>
      </c>
      <c r="E965">
        <v>22</v>
      </c>
      <c r="F965" t="s">
        <v>17</v>
      </c>
      <c r="G965" t="s">
        <v>44</v>
      </c>
      <c r="H965" t="s">
        <v>35</v>
      </c>
      <c r="I965" t="s">
        <v>20</v>
      </c>
      <c r="J965">
        <v>0</v>
      </c>
      <c r="K965">
        <v>0</v>
      </c>
      <c r="L965">
        <v>67</v>
      </c>
      <c r="M965">
        <v>1</v>
      </c>
      <c r="N965">
        <v>0</v>
      </c>
      <c r="O965" t="s">
        <v>21</v>
      </c>
      <c r="P965" t="str" cm="1">
        <f t="array" ref="P96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6" spans="1:16">
      <c r="A966">
        <v>8946</v>
      </c>
      <c r="B966" t="s">
        <v>49</v>
      </c>
      <c r="C966" t="s">
        <v>16</v>
      </c>
      <c r="D966">
        <v>359.03</v>
      </c>
      <c r="E966">
        <v>20</v>
      </c>
      <c r="F966" t="s">
        <v>19</v>
      </c>
      <c r="G966" t="s">
        <v>44</v>
      </c>
      <c r="H966" t="s">
        <v>35</v>
      </c>
      <c r="I966" t="s">
        <v>26</v>
      </c>
      <c r="J966">
        <v>0</v>
      </c>
      <c r="K966">
        <v>0</v>
      </c>
      <c r="L966">
        <v>99</v>
      </c>
      <c r="M966">
        <v>2</v>
      </c>
      <c r="N966">
        <v>0</v>
      </c>
      <c r="O966" t="s">
        <v>21</v>
      </c>
      <c r="P966" t="str" cm="1">
        <f t="array" ref="P96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7" spans="1:16">
      <c r="A967">
        <v>9368</v>
      </c>
      <c r="B967" t="s">
        <v>39</v>
      </c>
      <c r="C967" t="s">
        <v>28</v>
      </c>
      <c r="D967">
        <v>294.79000000000002</v>
      </c>
      <c r="E967">
        <v>8</v>
      </c>
      <c r="F967" t="s">
        <v>29</v>
      </c>
      <c r="G967" t="s">
        <v>38</v>
      </c>
      <c r="H967" t="s">
        <v>35</v>
      </c>
      <c r="I967" t="s">
        <v>20</v>
      </c>
      <c r="J967">
        <v>1</v>
      </c>
      <c r="K967">
        <v>0</v>
      </c>
      <c r="L967">
        <v>67</v>
      </c>
      <c r="M967">
        <v>2</v>
      </c>
      <c r="N967">
        <v>0</v>
      </c>
      <c r="O967" t="s">
        <v>21</v>
      </c>
      <c r="P967" t="str" cm="1">
        <f t="array" ref="P96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8" spans="1:16">
      <c r="A968">
        <v>714</v>
      </c>
      <c r="B968" t="s">
        <v>40</v>
      </c>
      <c r="C968" t="s">
        <v>33</v>
      </c>
      <c r="D968">
        <v>95.54</v>
      </c>
      <c r="E968">
        <v>7</v>
      </c>
      <c r="F968" t="s">
        <v>50</v>
      </c>
      <c r="G968" t="s">
        <v>24</v>
      </c>
      <c r="H968" t="s">
        <v>30</v>
      </c>
      <c r="I968" t="s">
        <v>20</v>
      </c>
      <c r="J968">
        <v>0</v>
      </c>
      <c r="K968">
        <v>0</v>
      </c>
      <c r="L968">
        <v>31</v>
      </c>
      <c r="M968">
        <v>1</v>
      </c>
      <c r="N968">
        <v>0</v>
      </c>
      <c r="O968" t="s">
        <v>21</v>
      </c>
      <c r="P968" t="str" cm="1">
        <f t="array" ref="P96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69" spans="1:16">
      <c r="A969">
        <v>9404</v>
      </c>
      <c r="B969" t="s">
        <v>58</v>
      </c>
      <c r="C969" t="s">
        <v>43</v>
      </c>
      <c r="D969">
        <v>64.44</v>
      </c>
      <c r="E969">
        <v>18</v>
      </c>
      <c r="F969" t="s">
        <v>50</v>
      </c>
      <c r="G969" t="s">
        <v>24</v>
      </c>
      <c r="H969" t="s">
        <v>30</v>
      </c>
      <c r="I969" t="s">
        <v>31</v>
      </c>
      <c r="J969">
        <v>0</v>
      </c>
      <c r="K969">
        <v>0</v>
      </c>
      <c r="L969">
        <v>42</v>
      </c>
      <c r="M969">
        <v>0</v>
      </c>
      <c r="N969">
        <v>0</v>
      </c>
      <c r="O969" t="s">
        <v>21</v>
      </c>
      <c r="P969" t="str" cm="1">
        <f t="array" ref="P96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0" spans="1:16">
      <c r="A970">
        <v>7259</v>
      </c>
      <c r="B970" t="s">
        <v>37</v>
      </c>
      <c r="C970" t="s">
        <v>16</v>
      </c>
      <c r="D970">
        <v>229.37</v>
      </c>
      <c r="E970">
        <v>6</v>
      </c>
      <c r="F970" t="s">
        <v>29</v>
      </c>
      <c r="G970" t="s">
        <v>44</v>
      </c>
      <c r="H970" t="s">
        <v>48</v>
      </c>
      <c r="I970" t="s">
        <v>26</v>
      </c>
      <c r="J970">
        <v>0</v>
      </c>
      <c r="K970">
        <v>1</v>
      </c>
      <c r="L970">
        <v>53</v>
      </c>
      <c r="M970">
        <v>2</v>
      </c>
      <c r="N970">
        <v>0</v>
      </c>
      <c r="O970" t="s">
        <v>21</v>
      </c>
      <c r="P970" t="str" cm="1">
        <f t="array" ref="P97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1" spans="1:16">
      <c r="A971">
        <v>3154</v>
      </c>
      <c r="B971" t="s">
        <v>49</v>
      </c>
      <c r="C971" t="s">
        <v>16</v>
      </c>
      <c r="D971">
        <v>100.43</v>
      </c>
      <c r="E971">
        <v>20</v>
      </c>
      <c r="F971" t="s">
        <v>50</v>
      </c>
      <c r="G971" t="s">
        <v>18</v>
      </c>
      <c r="H971" t="s">
        <v>19</v>
      </c>
      <c r="I971" t="s">
        <v>20</v>
      </c>
      <c r="J971">
        <v>0</v>
      </c>
      <c r="K971">
        <v>0</v>
      </c>
      <c r="L971">
        <v>88</v>
      </c>
      <c r="M971">
        <v>2</v>
      </c>
      <c r="N971">
        <v>0</v>
      </c>
      <c r="O971" t="s">
        <v>21</v>
      </c>
      <c r="P971" t="str" cm="1">
        <f t="array" ref="P97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2" spans="1:16">
      <c r="A972">
        <v>8748</v>
      </c>
      <c r="B972" t="s">
        <v>32</v>
      </c>
      <c r="C972" t="s">
        <v>33</v>
      </c>
      <c r="D972">
        <v>19.73</v>
      </c>
      <c r="E972">
        <v>16</v>
      </c>
      <c r="F972" t="s">
        <v>19</v>
      </c>
      <c r="G972" t="s">
        <v>38</v>
      </c>
      <c r="H972" t="s">
        <v>48</v>
      </c>
      <c r="I972" t="s">
        <v>25</v>
      </c>
      <c r="J972">
        <v>0</v>
      </c>
      <c r="K972">
        <v>0</v>
      </c>
      <c r="L972">
        <v>27</v>
      </c>
      <c r="M972">
        <v>3</v>
      </c>
      <c r="N972">
        <v>0</v>
      </c>
      <c r="O972" t="s">
        <v>21</v>
      </c>
      <c r="P972" t="str" cm="1">
        <f t="array" ref="P97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3" spans="1:16">
      <c r="A973">
        <v>967</v>
      </c>
      <c r="B973" t="s">
        <v>59</v>
      </c>
      <c r="C973" t="s">
        <v>16</v>
      </c>
      <c r="D973">
        <v>228.52</v>
      </c>
      <c r="E973">
        <v>4</v>
      </c>
      <c r="F973" t="s">
        <v>29</v>
      </c>
      <c r="G973" t="s">
        <v>24</v>
      </c>
      <c r="H973" t="s">
        <v>35</v>
      </c>
      <c r="I973" t="s">
        <v>25</v>
      </c>
      <c r="J973">
        <v>0</v>
      </c>
      <c r="K973">
        <v>0</v>
      </c>
      <c r="L973">
        <v>61</v>
      </c>
      <c r="M973">
        <v>1</v>
      </c>
      <c r="N973">
        <v>0</v>
      </c>
      <c r="O973" t="s">
        <v>21</v>
      </c>
      <c r="P973" t="str" cm="1">
        <f t="array" ref="P97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4" spans="1:16">
      <c r="A974">
        <v>9025</v>
      </c>
      <c r="B974" t="s">
        <v>32</v>
      </c>
      <c r="C974" t="s">
        <v>33</v>
      </c>
      <c r="D974">
        <v>131.22999999999999</v>
      </c>
      <c r="E974">
        <v>13</v>
      </c>
      <c r="F974" t="s">
        <v>17</v>
      </c>
      <c r="G974" t="s">
        <v>18</v>
      </c>
      <c r="H974" t="s">
        <v>35</v>
      </c>
      <c r="I974" t="s">
        <v>20</v>
      </c>
      <c r="J974">
        <v>0</v>
      </c>
      <c r="K974">
        <v>0</v>
      </c>
      <c r="L974">
        <v>69</v>
      </c>
      <c r="M974">
        <v>1</v>
      </c>
      <c r="N974">
        <v>0</v>
      </c>
      <c r="O974" t="s">
        <v>21</v>
      </c>
      <c r="P974" t="str" cm="1">
        <f t="array" ref="P97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5" spans="1:16">
      <c r="A975">
        <v>9227</v>
      </c>
      <c r="B975" t="s">
        <v>47</v>
      </c>
      <c r="C975" t="s">
        <v>16</v>
      </c>
      <c r="D975">
        <v>92.73</v>
      </c>
      <c r="E975">
        <v>15</v>
      </c>
      <c r="F975" t="s">
        <v>29</v>
      </c>
      <c r="G975" t="s">
        <v>24</v>
      </c>
      <c r="H975" t="s">
        <v>41</v>
      </c>
      <c r="I975" t="s">
        <v>20</v>
      </c>
      <c r="J975">
        <v>1</v>
      </c>
      <c r="K975">
        <v>1</v>
      </c>
      <c r="L975">
        <v>26</v>
      </c>
      <c r="M975">
        <v>3</v>
      </c>
      <c r="N975">
        <v>1</v>
      </c>
      <c r="O975" t="s">
        <v>36</v>
      </c>
      <c r="P975" t="str" cm="1">
        <f t="array" ref="P97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6" spans="1:16">
      <c r="A976">
        <v>5299</v>
      </c>
      <c r="B976" t="s">
        <v>57</v>
      </c>
      <c r="C976" t="s">
        <v>43</v>
      </c>
      <c r="D976">
        <v>100.66</v>
      </c>
      <c r="E976">
        <v>21</v>
      </c>
      <c r="F976" t="s">
        <v>50</v>
      </c>
      <c r="G976" t="s">
        <v>18</v>
      </c>
      <c r="H976" t="s">
        <v>25</v>
      </c>
      <c r="I976" t="s">
        <v>25</v>
      </c>
      <c r="J976">
        <v>0</v>
      </c>
      <c r="K976">
        <v>0</v>
      </c>
      <c r="L976">
        <v>37</v>
      </c>
      <c r="M976">
        <v>2</v>
      </c>
      <c r="N976">
        <v>0</v>
      </c>
      <c r="O976" t="s">
        <v>21</v>
      </c>
      <c r="P976" t="str" cm="1">
        <f t="array" ref="P97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7" spans="1:16">
      <c r="A977">
        <v>6326</v>
      </c>
      <c r="B977" t="s">
        <v>60</v>
      </c>
      <c r="C977" t="s">
        <v>23</v>
      </c>
      <c r="D977">
        <v>38.67</v>
      </c>
      <c r="E977">
        <v>12</v>
      </c>
      <c r="F977" t="s">
        <v>17</v>
      </c>
      <c r="G977" t="s">
        <v>38</v>
      </c>
      <c r="H977" t="s">
        <v>25</v>
      </c>
      <c r="I977" t="s">
        <v>31</v>
      </c>
      <c r="J977">
        <v>0</v>
      </c>
      <c r="K977">
        <v>1</v>
      </c>
      <c r="L977">
        <v>94</v>
      </c>
      <c r="M977">
        <v>3</v>
      </c>
      <c r="N977">
        <v>0</v>
      </c>
      <c r="O977" t="s">
        <v>21</v>
      </c>
      <c r="P977" t="str" cm="1">
        <f t="array" ref="P97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8" spans="1:16">
      <c r="A978">
        <v>3481</v>
      </c>
      <c r="B978" t="s">
        <v>49</v>
      </c>
      <c r="C978" t="s">
        <v>16</v>
      </c>
      <c r="D978">
        <v>30.04</v>
      </c>
      <c r="E978">
        <v>1</v>
      </c>
      <c r="F978" t="s">
        <v>50</v>
      </c>
      <c r="G978" t="s">
        <v>38</v>
      </c>
      <c r="H978" t="s">
        <v>35</v>
      </c>
      <c r="I978" t="s">
        <v>25</v>
      </c>
      <c r="J978">
        <v>0</v>
      </c>
      <c r="K978">
        <v>1</v>
      </c>
      <c r="L978">
        <v>89</v>
      </c>
      <c r="M978">
        <v>0</v>
      </c>
      <c r="N978">
        <v>0</v>
      </c>
      <c r="O978" t="s">
        <v>21</v>
      </c>
      <c r="P978" t="str" cm="1">
        <f t="array" ref="P97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79" spans="1:16">
      <c r="A979">
        <v>4201</v>
      </c>
      <c r="B979" t="s">
        <v>51</v>
      </c>
      <c r="C979" t="s">
        <v>52</v>
      </c>
      <c r="D979">
        <v>341.43</v>
      </c>
      <c r="E979">
        <v>14</v>
      </c>
      <c r="F979" t="s">
        <v>17</v>
      </c>
      <c r="G979" t="s">
        <v>44</v>
      </c>
      <c r="H979" t="s">
        <v>48</v>
      </c>
      <c r="I979" t="s">
        <v>31</v>
      </c>
      <c r="J979">
        <v>1</v>
      </c>
      <c r="K979">
        <v>0</v>
      </c>
      <c r="L979">
        <v>71</v>
      </c>
      <c r="M979">
        <v>4</v>
      </c>
      <c r="N979">
        <v>0</v>
      </c>
      <c r="O979" t="s">
        <v>21</v>
      </c>
      <c r="P979" t="str" cm="1">
        <f t="array" ref="P97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0" spans="1:16">
      <c r="A980">
        <v>8534</v>
      </c>
      <c r="B980" t="s">
        <v>40</v>
      </c>
      <c r="C980" t="s">
        <v>33</v>
      </c>
      <c r="D980">
        <v>278.66000000000003</v>
      </c>
      <c r="E980">
        <v>19</v>
      </c>
      <c r="F980" t="s">
        <v>29</v>
      </c>
      <c r="G980" t="s">
        <v>24</v>
      </c>
      <c r="H980" t="s">
        <v>19</v>
      </c>
      <c r="I980" t="s">
        <v>20</v>
      </c>
      <c r="J980">
        <v>1</v>
      </c>
      <c r="K980">
        <v>0</v>
      </c>
      <c r="L980">
        <v>76</v>
      </c>
      <c r="M980">
        <v>0</v>
      </c>
      <c r="N980">
        <v>0</v>
      </c>
      <c r="O980" t="s">
        <v>21</v>
      </c>
      <c r="P980" t="str" cm="1">
        <f t="array" ref="P98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1" spans="1:16">
      <c r="A981">
        <v>8159</v>
      </c>
      <c r="B981" t="s">
        <v>56</v>
      </c>
      <c r="C981" t="s">
        <v>52</v>
      </c>
      <c r="D981">
        <v>92.64</v>
      </c>
      <c r="E981">
        <v>16</v>
      </c>
      <c r="F981" t="s">
        <v>34</v>
      </c>
      <c r="G981" t="s">
        <v>38</v>
      </c>
      <c r="H981" t="s">
        <v>35</v>
      </c>
      <c r="I981" t="s">
        <v>20</v>
      </c>
      <c r="J981">
        <v>0</v>
      </c>
      <c r="K981">
        <v>0</v>
      </c>
      <c r="L981">
        <v>38</v>
      </c>
      <c r="M981">
        <v>0</v>
      </c>
      <c r="N981">
        <v>0</v>
      </c>
      <c r="O981" t="s">
        <v>21</v>
      </c>
      <c r="P981" t="str" cm="1">
        <f t="array" ref="P98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2" spans="1:16">
      <c r="A982">
        <v>6372</v>
      </c>
      <c r="B982" t="s">
        <v>47</v>
      </c>
      <c r="C982" t="s">
        <v>16</v>
      </c>
      <c r="D982">
        <v>74.349999999999994</v>
      </c>
      <c r="E982">
        <v>10</v>
      </c>
      <c r="F982" t="s">
        <v>50</v>
      </c>
      <c r="G982" t="s">
        <v>18</v>
      </c>
      <c r="H982" t="s">
        <v>30</v>
      </c>
      <c r="I982" t="s">
        <v>25</v>
      </c>
      <c r="J982">
        <v>0</v>
      </c>
      <c r="K982">
        <v>0</v>
      </c>
      <c r="L982">
        <v>57</v>
      </c>
      <c r="M982">
        <v>2</v>
      </c>
      <c r="N982">
        <v>0</v>
      </c>
      <c r="O982" t="s">
        <v>21</v>
      </c>
      <c r="P982" t="str" cm="1">
        <f t="array" ref="P98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3" spans="1:16">
      <c r="A983">
        <v>3784</v>
      </c>
      <c r="B983" t="s">
        <v>64</v>
      </c>
      <c r="C983" t="s">
        <v>23</v>
      </c>
      <c r="D983">
        <v>315.33999999999997</v>
      </c>
      <c r="E983">
        <v>10</v>
      </c>
      <c r="F983" t="s">
        <v>17</v>
      </c>
      <c r="G983" t="s">
        <v>18</v>
      </c>
      <c r="H983" t="s">
        <v>25</v>
      </c>
      <c r="I983" t="s">
        <v>31</v>
      </c>
      <c r="J983">
        <v>0</v>
      </c>
      <c r="K983">
        <v>0</v>
      </c>
      <c r="L983">
        <v>58</v>
      </c>
      <c r="M983">
        <v>2</v>
      </c>
      <c r="N983">
        <v>0</v>
      </c>
      <c r="O983" t="s">
        <v>21</v>
      </c>
      <c r="P983" t="str" cm="1">
        <f t="array" ref="P98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4" spans="1:16">
      <c r="A984">
        <v>4749</v>
      </c>
      <c r="B984" t="s">
        <v>32</v>
      </c>
      <c r="C984" t="s">
        <v>33</v>
      </c>
      <c r="D984">
        <v>89.51</v>
      </c>
      <c r="E984">
        <v>23</v>
      </c>
      <c r="F984" t="s">
        <v>29</v>
      </c>
      <c r="G984" t="s">
        <v>18</v>
      </c>
      <c r="H984" t="s">
        <v>30</v>
      </c>
      <c r="I984" t="s">
        <v>25</v>
      </c>
      <c r="J984">
        <v>1</v>
      </c>
      <c r="K984">
        <v>0</v>
      </c>
      <c r="L984">
        <v>30</v>
      </c>
      <c r="M984">
        <v>3</v>
      </c>
      <c r="N984">
        <v>0</v>
      </c>
      <c r="O984" t="s">
        <v>21</v>
      </c>
      <c r="P984" t="str" cm="1">
        <f t="array" ref="P98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5" spans="1:16">
      <c r="A985">
        <v>9388</v>
      </c>
      <c r="B985" t="s">
        <v>37</v>
      </c>
      <c r="C985" t="s">
        <v>16</v>
      </c>
      <c r="D985">
        <v>55.66</v>
      </c>
      <c r="E985">
        <v>20</v>
      </c>
      <c r="F985" t="s">
        <v>34</v>
      </c>
      <c r="G985" t="s">
        <v>18</v>
      </c>
      <c r="H985" t="s">
        <v>35</v>
      </c>
      <c r="I985" t="s">
        <v>20</v>
      </c>
      <c r="J985">
        <v>0</v>
      </c>
      <c r="K985">
        <v>0</v>
      </c>
      <c r="L985">
        <v>97</v>
      </c>
      <c r="M985">
        <v>1</v>
      </c>
      <c r="N985">
        <v>0</v>
      </c>
      <c r="O985" t="s">
        <v>21</v>
      </c>
      <c r="P985" t="str" cm="1">
        <f t="array" ref="P98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6" spans="1:16">
      <c r="A986">
        <v>3336</v>
      </c>
      <c r="B986" t="s">
        <v>61</v>
      </c>
      <c r="C986" t="s">
        <v>28</v>
      </c>
      <c r="D986">
        <v>249.52</v>
      </c>
      <c r="E986">
        <v>1</v>
      </c>
      <c r="F986" t="s">
        <v>50</v>
      </c>
      <c r="G986" t="s">
        <v>18</v>
      </c>
      <c r="H986" t="s">
        <v>48</v>
      </c>
      <c r="I986" t="s">
        <v>31</v>
      </c>
      <c r="J986">
        <v>0</v>
      </c>
      <c r="K986">
        <v>1</v>
      </c>
      <c r="L986">
        <v>99</v>
      </c>
      <c r="M986">
        <v>0</v>
      </c>
      <c r="N986">
        <v>0</v>
      </c>
      <c r="O986" t="s">
        <v>21</v>
      </c>
      <c r="P986" t="str" cm="1">
        <f t="array" ref="P98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7" spans="1:16">
      <c r="A987">
        <v>3215</v>
      </c>
      <c r="B987" t="s">
        <v>47</v>
      </c>
      <c r="C987" t="s">
        <v>16</v>
      </c>
      <c r="D987">
        <v>46.95</v>
      </c>
      <c r="E987">
        <v>1</v>
      </c>
      <c r="F987" t="s">
        <v>19</v>
      </c>
      <c r="G987" t="s">
        <v>24</v>
      </c>
      <c r="H987" t="s">
        <v>48</v>
      </c>
      <c r="I987" t="s">
        <v>20</v>
      </c>
      <c r="J987">
        <v>1</v>
      </c>
      <c r="K987">
        <v>1</v>
      </c>
      <c r="L987">
        <v>55</v>
      </c>
      <c r="M987">
        <v>2</v>
      </c>
      <c r="N987">
        <v>1</v>
      </c>
      <c r="O987" t="s">
        <v>36</v>
      </c>
      <c r="P987" t="str" cm="1">
        <f t="array" ref="P98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8" spans="1:16">
      <c r="A988">
        <v>1686</v>
      </c>
      <c r="B988" t="s">
        <v>45</v>
      </c>
      <c r="C988" t="s">
        <v>28</v>
      </c>
      <c r="D988">
        <v>356.51</v>
      </c>
      <c r="E988">
        <v>15</v>
      </c>
      <c r="F988" t="s">
        <v>29</v>
      </c>
      <c r="G988" t="s">
        <v>24</v>
      </c>
      <c r="H988" t="s">
        <v>19</v>
      </c>
      <c r="I988" t="s">
        <v>20</v>
      </c>
      <c r="J988">
        <v>0</v>
      </c>
      <c r="K988">
        <v>0</v>
      </c>
      <c r="L988">
        <v>63</v>
      </c>
      <c r="M988">
        <v>1</v>
      </c>
      <c r="N988">
        <v>0</v>
      </c>
      <c r="O988" t="s">
        <v>21</v>
      </c>
      <c r="P988" t="str" cm="1">
        <f t="array" ref="P98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89" spans="1:16">
      <c r="A989">
        <v>2190</v>
      </c>
      <c r="B989" t="s">
        <v>27</v>
      </c>
      <c r="C989" t="s">
        <v>28</v>
      </c>
      <c r="D989">
        <v>196.84</v>
      </c>
      <c r="E989">
        <v>6</v>
      </c>
      <c r="F989" t="s">
        <v>34</v>
      </c>
      <c r="G989" t="s">
        <v>18</v>
      </c>
      <c r="H989" t="s">
        <v>48</v>
      </c>
      <c r="I989" t="s">
        <v>20</v>
      </c>
      <c r="J989">
        <v>1</v>
      </c>
      <c r="K989">
        <v>1</v>
      </c>
      <c r="L989">
        <v>75</v>
      </c>
      <c r="M989">
        <v>5</v>
      </c>
      <c r="N989">
        <v>1</v>
      </c>
      <c r="O989" t="s">
        <v>36</v>
      </c>
      <c r="P989" t="str" cm="1">
        <f t="array" ref="P98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0" spans="1:16">
      <c r="A990">
        <v>7119</v>
      </c>
      <c r="B990" t="s">
        <v>73</v>
      </c>
      <c r="C990" t="s">
        <v>43</v>
      </c>
      <c r="D990">
        <v>212.31</v>
      </c>
      <c r="E990">
        <v>4</v>
      </c>
      <c r="F990" t="s">
        <v>34</v>
      </c>
      <c r="G990" t="s">
        <v>44</v>
      </c>
      <c r="H990" t="s">
        <v>35</v>
      </c>
      <c r="I990" t="s">
        <v>26</v>
      </c>
      <c r="J990">
        <v>1</v>
      </c>
      <c r="K990">
        <v>0</v>
      </c>
      <c r="L990">
        <v>91</v>
      </c>
      <c r="M990">
        <v>0</v>
      </c>
      <c r="N990">
        <v>0</v>
      </c>
      <c r="O990" t="s">
        <v>21</v>
      </c>
      <c r="P990" t="str" cm="1">
        <f t="array" ref="P99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1" spans="1:16">
      <c r="A991">
        <v>4081</v>
      </c>
      <c r="B991" t="s">
        <v>37</v>
      </c>
      <c r="C991" t="s">
        <v>16</v>
      </c>
      <c r="D991">
        <v>212.19</v>
      </c>
      <c r="E991">
        <v>7</v>
      </c>
      <c r="F991" t="s">
        <v>34</v>
      </c>
      <c r="G991" t="s">
        <v>44</v>
      </c>
      <c r="H991" t="s">
        <v>25</v>
      </c>
      <c r="I991" t="s">
        <v>31</v>
      </c>
      <c r="J991">
        <v>0</v>
      </c>
      <c r="K991">
        <v>0</v>
      </c>
      <c r="L991">
        <v>35</v>
      </c>
      <c r="M991">
        <v>2</v>
      </c>
      <c r="N991">
        <v>0</v>
      </c>
      <c r="O991" t="s">
        <v>21</v>
      </c>
      <c r="P991" t="str" cm="1">
        <f t="array" ref="P99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2" spans="1:16">
      <c r="A992">
        <v>9735</v>
      </c>
      <c r="B992" t="s">
        <v>57</v>
      </c>
      <c r="C992" t="s">
        <v>43</v>
      </c>
      <c r="D992">
        <v>246.86</v>
      </c>
      <c r="E992">
        <v>8</v>
      </c>
      <c r="F992" t="s">
        <v>50</v>
      </c>
      <c r="G992" t="s">
        <v>24</v>
      </c>
      <c r="H992" t="s">
        <v>41</v>
      </c>
      <c r="I992" t="s">
        <v>20</v>
      </c>
      <c r="J992">
        <v>0</v>
      </c>
      <c r="K992">
        <v>0</v>
      </c>
      <c r="L992">
        <v>90</v>
      </c>
      <c r="M992">
        <v>2</v>
      </c>
      <c r="N992">
        <v>0</v>
      </c>
      <c r="O992" t="s">
        <v>21</v>
      </c>
      <c r="P992" t="str" cm="1">
        <f t="array" ref="P992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3" spans="1:16">
      <c r="A993">
        <v>1215</v>
      </c>
      <c r="B993" t="s">
        <v>63</v>
      </c>
      <c r="C993" t="s">
        <v>28</v>
      </c>
      <c r="D993">
        <v>212.96</v>
      </c>
      <c r="E993">
        <v>10</v>
      </c>
      <c r="F993" t="s">
        <v>19</v>
      </c>
      <c r="G993" t="s">
        <v>38</v>
      </c>
      <c r="H993" t="s">
        <v>19</v>
      </c>
      <c r="I993" t="s">
        <v>20</v>
      </c>
      <c r="J993">
        <v>0</v>
      </c>
      <c r="K993">
        <v>0</v>
      </c>
      <c r="L993">
        <v>92</v>
      </c>
      <c r="M993">
        <v>1</v>
      </c>
      <c r="N993">
        <v>0</v>
      </c>
      <c r="O993" t="s">
        <v>21</v>
      </c>
      <c r="P993" t="str" cm="1">
        <f t="array" ref="P993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4" spans="1:16">
      <c r="A994">
        <v>9001</v>
      </c>
      <c r="B994" t="s">
        <v>54</v>
      </c>
      <c r="C994" t="s">
        <v>28</v>
      </c>
      <c r="D994">
        <v>440.73</v>
      </c>
      <c r="E994">
        <v>0</v>
      </c>
      <c r="F994" t="s">
        <v>19</v>
      </c>
      <c r="G994" t="s">
        <v>24</v>
      </c>
      <c r="H994" t="s">
        <v>48</v>
      </c>
      <c r="I994" t="s">
        <v>20</v>
      </c>
      <c r="J994">
        <v>0</v>
      </c>
      <c r="K994">
        <v>0</v>
      </c>
      <c r="L994">
        <v>67</v>
      </c>
      <c r="M994">
        <v>2</v>
      </c>
      <c r="N994">
        <v>0</v>
      </c>
      <c r="O994" t="s">
        <v>21</v>
      </c>
      <c r="P994" t="str" cm="1">
        <f t="array" ref="P994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5" spans="1:16">
      <c r="A995">
        <v>9484</v>
      </c>
      <c r="B995" t="s">
        <v>54</v>
      </c>
      <c r="C995" t="s">
        <v>28</v>
      </c>
      <c r="D995">
        <v>293.63</v>
      </c>
      <c r="E995">
        <v>18</v>
      </c>
      <c r="F995" t="s">
        <v>29</v>
      </c>
      <c r="G995" t="s">
        <v>38</v>
      </c>
      <c r="H995" t="s">
        <v>19</v>
      </c>
      <c r="I995" t="s">
        <v>20</v>
      </c>
      <c r="J995">
        <v>1</v>
      </c>
      <c r="K995">
        <v>1</v>
      </c>
      <c r="L995">
        <v>62</v>
      </c>
      <c r="M995">
        <v>1</v>
      </c>
      <c r="N995">
        <v>0</v>
      </c>
      <c r="O995" t="s">
        <v>21</v>
      </c>
      <c r="P995" t="str" cm="1">
        <f t="array" ref="P995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6" spans="1:16">
      <c r="A996">
        <v>2192</v>
      </c>
      <c r="B996" t="s">
        <v>46</v>
      </c>
      <c r="C996" t="s">
        <v>23</v>
      </c>
      <c r="D996">
        <v>427.91</v>
      </c>
      <c r="E996">
        <v>2</v>
      </c>
      <c r="F996" t="s">
        <v>34</v>
      </c>
      <c r="G996" t="s">
        <v>38</v>
      </c>
      <c r="H996" t="s">
        <v>41</v>
      </c>
      <c r="I996" t="s">
        <v>31</v>
      </c>
      <c r="J996">
        <v>0</v>
      </c>
      <c r="K996">
        <v>0</v>
      </c>
      <c r="L996">
        <v>34</v>
      </c>
      <c r="M996">
        <v>1</v>
      </c>
      <c r="N996">
        <v>0</v>
      </c>
      <c r="O996" t="s">
        <v>21</v>
      </c>
      <c r="P996" t="str" cm="1">
        <f t="array" ref="P996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7" spans="1:16">
      <c r="A997">
        <v>818</v>
      </c>
      <c r="B997" t="s">
        <v>27</v>
      </c>
      <c r="C997" t="s">
        <v>28</v>
      </c>
      <c r="D997">
        <v>91.65</v>
      </c>
      <c r="E997">
        <v>17</v>
      </c>
      <c r="F997" t="s">
        <v>29</v>
      </c>
      <c r="G997" t="s">
        <v>24</v>
      </c>
      <c r="H997" t="s">
        <v>35</v>
      </c>
      <c r="I997" t="s">
        <v>20</v>
      </c>
      <c r="J997">
        <v>0</v>
      </c>
      <c r="K997">
        <v>0</v>
      </c>
      <c r="L997">
        <v>30</v>
      </c>
      <c r="M997">
        <v>3</v>
      </c>
      <c r="N997">
        <v>0</v>
      </c>
      <c r="O997" t="s">
        <v>21</v>
      </c>
      <c r="P997" t="str" cm="1">
        <f t="array" ref="P997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8" spans="1:16">
      <c r="A998">
        <v>3541</v>
      </c>
      <c r="B998" t="s">
        <v>49</v>
      </c>
      <c r="C998" t="s">
        <v>16</v>
      </c>
      <c r="D998">
        <v>42.55</v>
      </c>
      <c r="E998">
        <v>0</v>
      </c>
      <c r="F998" t="s">
        <v>50</v>
      </c>
      <c r="G998" t="s">
        <v>24</v>
      </c>
      <c r="H998" t="s">
        <v>35</v>
      </c>
      <c r="I998" t="s">
        <v>20</v>
      </c>
      <c r="J998">
        <v>0</v>
      </c>
      <c r="K998">
        <v>0</v>
      </c>
      <c r="L998">
        <v>27</v>
      </c>
      <c r="M998">
        <v>5</v>
      </c>
      <c r="N998">
        <v>1</v>
      </c>
      <c r="O998" t="s">
        <v>36</v>
      </c>
      <c r="P998" t="str" cm="1">
        <f t="array" ref="P998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999" spans="1:16">
      <c r="A999">
        <v>618</v>
      </c>
      <c r="B999" t="s">
        <v>42</v>
      </c>
      <c r="C999" t="s">
        <v>43</v>
      </c>
      <c r="D999">
        <v>58.35</v>
      </c>
      <c r="E999">
        <v>0</v>
      </c>
      <c r="F999" t="s">
        <v>19</v>
      </c>
      <c r="G999" t="s">
        <v>44</v>
      </c>
      <c r="H999" t="s">
        <v>30</v>
      </c>
      <c r="I999" t="s">
        <v>20</v>
      </c>
      <c r="J999">
        <v>0</v>
      </c>
      <c r="K999">
        <v>1</v>
      </c>
      <c r="L999">
        <v>29</v>
      </c>
      <c r="M999">
        <v>4</v>
      </c>
      <c r="N999">
        <v>1</v>
      </c>
      <c r="O999" t="s">
        <v>36</v>
      </c>
      <c r="P999" t="str" cm="1">
        <f t="array" ref="P999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00" spans="1:16">
      <c r="A1000">
        <v>8454</v>
      </c>
      <c r="B1000" t="s">
        <v>27</v>
      </c>
      <c r="C1000" t="s">
        <v>28</v>
      </c>
      <c r="D1000">
        <v>104.87</v>
      </c>
      <c r="E1000">
        <v>23</v>
      </c>
      <c r="F1000" t="s">
        <v>29</v>
      </c>
      <c r="G1000" t="s">
        <v>24</v>
      </c>
      <c r="H1000" t="s">
        <v>25</v>
      </c>
      <c r="I1000" t="s">
        <v>31</v>
      </c>
      <c r="J1000">
        <v>0</v>
      </c>
      <c r="K1000">
        <v>0</v>
      </c>
      <c r="L1000">
        <v>72</v>
      </c>
      <c r="M1000">
        <v>1</v>
      </c>
      <c r="N1000">
        <v>0</v>
      </c>
      <c r="O1000" t="s">
        <v>21</v>
      </c>
      <c r="P1000" t="str" cm="1">
        <f t="array" ref="P1000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  <row r="1001" spans="1:16">
      <c r="A1001">
        <v>6565</v>
      </c>
      <c r="B1001" t="s">
        <v>71</v>
      </c>
      <c r="C1001" t="s">
        <v>33</v>
      </c>
      <c r="D1001">
        <v>30.28</v>
      </c>
      <c r="E1001">
        <v>0</v>
      </c>
      <c r="F1001" t="s">
        <v>29</v>
      </c>
      <c r="G1001" t="s">
        <v>24</v>
      </c>
      <c r="H1001" t="s">
        <v>30</v>
      </c>
      <c r="I1001" t="s">
        <v>20</v>
      </c>
      <c r="J1001">
        <v>0</v>
      </c>
      <c r="K1001">
        <v>0</v>
      </c>
      <c r="L1001">
        <v>34</v>
      </c>
      <c r="M1001">
        <v>5</v>
      </c>
      <c r="N1001">
        <v>1</v>
      </c>
      <c r="O1001" t="s">
        <v>36</v>
      </c>
      <c r="P1001" t="str" cm="1">
        <f t="array" ref="P1001">_xlfn.IFS(FraudData[[#This Row],[amount]]&lt;500,"Below 500",FraudData[[#This Row],[amount]]&lt;1000,"500-999",FraudData[[#This Row],[amount]]&lt;5000,"1000-4999",FraudData[[#This Row],[amount]]&lt;10000,"5000-9999",TRUE,"10000+")</f>
        <v>Below 500</v>
      </c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15F6-593B-45C3-A937-E70C9B27718A}">
  <sheetPr>
    <pageSetUpPr fitToPage="1"/>
  </sheetPr>
  <dimension ref="A1:X91"/>
  <sheetViews>
    <sheetView tabSelected="1" topLeftCell="A46" zoomScale="55" zoomScaleNormal="70" workbookViewId="0">
      <selection sqref="A1:S59"/>
    </sheetView>
  </sheetViews>
  <sheetFormatPr defaultRowHeight="14.4"/>
  <cols>
    <col min="1" max="1" width="12.21875" bestFit="1" customWidth="1"/>
    <col min="3" max="3" width="9.77734375" customWidth="1"/>
    <col min="4" max="4" width="9" customWidth="1"/>
    <col min="5" max="5" width="16.33203125" bestFit="1" customWidth="1"/>
    <col min="7" max="7" width="9" bestFit="1" customWidth="1"/>
    <col min="10" max="10" width="12.33203125" customWidth="1"/>
    <col min="12" max="12" width="12" bestFit="1" customWidth="1"/>
    <col min="13" max="13" width="7.33203125" customWidth="1"/>
    <col min="15" max="15" width="4.44140625" customWidth="1"/>
    <col min="16" max="16" width="23.5546875" bestFit="1" customWidth="1"/>
    <col min="19" max="19" width="4.44140625" customWidth="1"/>
    <col min="20" max="20" width="8.88671875" customWidth="1"/>
  </cols>
  <sheetData>
    <row r="1" spans="1:24" s="5" customFormat="1" ht="46.2">
      <c r="A1" s="33" t="s">
        <v>120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21"/>
      <c r="U1" s="27"/>
      <c r="V1" s="27"/>
      <c r="W1" s="27"/>
      <c r="X1" s="27"/>
    </row>
    <row r="2" spans="1:24" ht="0.6" customHeight="1">
      <c r="A2" s="13"/>
      <c r="B2" s="13"/>
      <c r="C2" s="13"/>
      <c r="D2" s="13"/>
      <c r="E2" s="14"/>
      <c r="F2" s="13"/>
      <c r="G2" s="13"/>
      <c r="H2" s="13"/>
      <c r="I2" s="13"/>
      <c r="J2" s="13"/>
      <c r="K2" s="13"/>
      <c r="L2" s="15"/>
      <c r="M2" s="15"/>
      <c r="N2" s="15"/>
      <c r="O2" s="15"/>
      <c r="P2" s="15"/>
      <c r="Q2" s="15"/>
      <c r="R2" s="15"/>
      <c r="S2" s="15"/>
      <c r="T2" s="15"/>
      <c r="U2" s="28"/>
      <c r="V2" s="28"/>
      <c r="W2" s="28"/>
      <c r="X2" s="28"/>
    </row>
    <row r="3" spans="1:24" ht="28.2" customHeight="1">
      <c r="A3" s="34" t="s">
        <v>118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15"/>
      <c r="U3" s="28"/>
      <c r="V3" s="28"/>
      <c r="W3" s="28"/>
      <c r="X3" s="28"/>
    </row>
    <row r="4" spans="1:24" ht="14.4" customHeight="1">
      <c r="A4" s="38" t="s">
        <v>129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15"/>
      <c r="U4" s="28"/>
      <c r="V4" s="28"/>
      <c r="W4" s="28"/>
      <c r="X4" s="28"/>
    </row>
    <row r="5" spans="1:2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8"/>
      <c r="V5" s="28"/>
      <c r="W5" s="28"/>
      <c r="X5" s="28"/>
    </row>
    <row r="6" spans="1:24" ht="31.2">
      <c r="A6" s="36" t="s">
        <v>102</v>
      </c>
      <c r="B6" s="36"/>
      <c r="C6" s="36"/>
      <c r="D6" s="36"/>
      <c r="E6" s="15"/>
      <c r="F6" s="25" t="s">
        <v>103</v>
      </c>
      <c r="G6" s="17"/>
      <c r="H6" s="17"/>
      <c r="I6" s="18"/>
      <c r="J6" s="15"/>
      <c r="K6" s="37" t="s">
        <v>104</v>
      </c>
      <c r="L6" s="37"/>
      <c r="M6" s="37"/>
      <c r="N6" s="15"/>
      <c r="O6" s="15"/>
      <c r="P6" s="32" t="s">
        <v>119</v>
      </c>
      <c r="Q6" s="32"/>
      <c r="R6" s="32"/>
      <c r="S6" s="32"/>
      <c r="T6" s="15"/>
      <c r="U6" s="28"/>
      <c r="V6" s="28"/>
      <c r="W6" s="28"/>
      <c r="X6" s="28"/>
    </row>
    <row r="7" spans="1:24" ht="31.2">
      <c r="A7" s="31">
        <f>COUNTA('[1]Sample Data'!A2:A1001)</f>
        <v>1000</v>
      </c>
      <c r="B7" s="31"/>
      <c r="C7" s="31"/>
      <c r="D7" s="16"/>
      <c r="E7" s="15"/>
      <c r="F7" s="19">
        <f>COUNTIF(FraudData[is_fraud],1)</f>
        <v>151</v>
      </c>
      <c r="G7" s="20"/>
      <c r="H7" s="20"/>
      <c r="I7" s="18"/>
      <c r="J7" s="15"/>
      <c r="K7" s="30">
        <f>IFERROR(F7/COUNTA(FraudData[transaction_id]),0)</f>
        <v>0.151</v>
      </c>
      <c r="L7" s="30"/>
      <c r="M7" s="30"/>
      <c r="N7" s="15"/>
      <c r="O7" s="15"/>
      <c r="P7" s="23">
        <f>SUMIF(FraudData[is_fraud],1,FraudData[amount])</f>
        <v>32643.629999999994</v>
      </c>
      <c r="Q7" s="24"/>
      <c r="R7" s="24"/>
      <c r="S7" s="24"/>
      <c r="T7" s="15"/>
      <c r="U7" s="28"/>
      <c r="V7" s="28"/>
      <c r="W7" s="28"/>
      <c r="X7" s="28"/>
    </row>
    <row r="8" spans="1:2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28"/>
      <c r="V8" s="28"/>
      <c r="W8" s="28"/>
      <c r="X8" s="28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8"/>
      <c r="V9" s="28"/>
      <c r="W9" s="28"/>
      <c r="X9" s="28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8"/>
      <c r="V10" s="28"/>
      <c r="W10" s="28"/>
      <c r="X10" s="28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8"/>
      <c r="V11" s="28"/>
      <c r="W11" s="28"/>
      <c r="X11" s="28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8"/>
      <c r="V12" s="28"/>
      <c r="W12" s="28"/>
      <c r="X12" s="28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8"/>
      <c r="V13" s="28"/>
      <c r="W13" s="28"/>
      <c r="X13" s="28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8"/>
      <c r="V14" s="28"/>
      <c r="W14" s="28"/>
      <c r="X14" s="28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8"/>
      <c r="X15" s="28"/>
    </row>
    <row r="16" spans="1:24">
      <c r="A16" s="22"/>
      <c r="B16" s="22"/>
      <c r="C16" s="22"/>
      <c r="D16" s="22"/>
      <c r="E16" s="22"/>
      <c r="F16" s="22"/>
      <c r="G16" s="22"/>
      <c r="H16" s="22"/>
      <c r="I16" s="22" t="s">
        <v>108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8"/>
      <c r="V16" s="28"/>
      <c r="W16" s="28"/>
      <c r="X16" s="28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8"/>
      <c r="V17" s="28"/>
      <c r="W17" s="28"/>
      <c r="X17" s="28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8"/>
      <c r="V18" s="28"/>
      <c r="W18" s="28"/>
      <c r="X18" s="28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8"/>
      <c r="V19" s="28"/>
      <c r="W19" s="28"/>
      <c r="X19" s="28"/>
    </row>
    <row r="20" spans="1:24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8"/>
      <c r="V20" s="28"/>
      <c r="W20" s="28"/>
      <c r="X20" s="28"/>
    </row>
    <row r="21" spans="1:24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8"/>
      <c r="V21" s="28"/>
      <c r="W21" s="28"/>
      <c r="X21" s="28"/>
    </row>
    <row r="22" spans="1:24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8"/>
      <c r="V22" s="28"/>
      <c r="W22" s="28"/>
      <c r="X22" s="28"/>
    </row>
    <row r="23" spans="1:24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8"/>
      <c r="V23" s="28"/>
      <c r="W23" s="28"/>
      <c r="X23" s="28"/>
    </row>
    <row r="24" spans="1: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8"/>
      <c r="V24" s="28"/>
      <c r="W24" s="28"/>
      <c r="X24" s="28"/>
    </row>
    <row r="25" spans="1:24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8"/>
      <c r="V25" s="28"/>
      <c r="W25" s="28"/>
      <c r="X25" s="28"/>
    </row>
    <row r="26" spans="1:24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8"/>
      <c r="V26" s="28"/>
      <c r="W26" s="28"/>
      <c r="X26" s="28"/>
    </row>
    <row r="27" spans="1:24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8"/>
      <c r="V27" s="28"/>
      <c r="W27" s="28"/>
      <c r="X27" s="28"/>
    </row>
    <row r="28" spans="1:24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8"/>
      <c r="V28" s="28"/>
      <c r="W28" s="28"/>
      <c r="X28" s="28"/>
    </row>
    <row r="29" spans="1:24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8"/>
      <c r="V29" s="28"/>
      <c r="W29" s="28"/>
      <c r="X29" s="28"/>
    </row>
    <row r="30" spans="1:24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8"/>
      <c r="V30" s="28"/>
      <c r="W30" s="28"/>
      <c r="X30" s="28"/>
    </row>
    <row r="31" spans="1:24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8"/>
      <c r="V31" s="28"/>
      <c r="W31" s="28"/>
      <c r="X31" s="28"/>
    </row>
    <row r="32" spans="1:24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8"/>
      <c r="V32" s="28"/>
      <c r="W32" s="28"/>
      <c r="X32" s="28"/>
    </row>
    <row r="33" spans="1:24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8"/>
      <c r="V33" s="28"/>
      <c r="W33" s="28"/>
      <c r="X33" s="28"/>
    </row>
    <row r="34" spans="1:2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8"/>
      <c r="X34" s="28"/>
    </row>
    <row r="35" spans="1:24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8"/>
      <c r="V35" s="28"/>
      <c r="W35" s="28"/>
      <c r="X35" s="28"/>
    </row>
    <row r="36" spans="1:24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8"/>
      <c r="V36" s="28"/>
      <c r="W36" s="28"/>
      <c r="X36" s="28"/>
    </row>
    <row r="37" spans="1:24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8"/>
      <c r="V37" s="28"/>
      <c r="W37" s="28"/>
      <c r="X37" s="28"/>
    </row>
    <row r="38" spans="1:24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8"/>
      <c r="V38" s="28"/>
      <c r="W38" s="28"/>
      <c r="X38" s="28"/>
    </row>
    <row r="39" spans="1:24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8"/>
      <c r="V39" s="28"/>
      <c r="W39" s="28"/>
      <c r="X39" s="28"/>
    </row>
    <row r="40" spans="1:24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8"/>
      <c r="V40" s="28"/>
      <c r="W40" s="28"/>
      <c r="X40" s="28"/>
    </row>
    <row r="41" spans="1:24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8"/>
      <c r="V41" s="28"/>
      <c r="W41" s="28"/>
      <c r="X41" s="28"/>
    </row>
    <row r="42" spans="1:24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8"/>
      <c r="V42" s="28"/>
      <c r="W42" s="28"/>
      <c r="X42" s="28"/>
    </row>
    <row r="43" spans="1:24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8"/>
      <c r="V43" s="28"/>
      <c r="W43" s="28"/>
      <c r="X43" s="28"/>
    </row>
    <row r="44" spans="1:2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8"/>
      <c r="V44" s="28"/>
      <c r="W44" s="28"/>
      <c r="X44" s="28"/>
    </row>
    <row r="45" spans="1:24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8"/>
      <c r="V45" s="28"/>
      <c r="W45" s="28"/>
      <c r="X45" s="28"/>
    </row>
    <row r="46" spans="1:24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8"/>
      <c r="V46" s="28"/>
      <c r="W46" s="28"/>
      <c r="X46" s="28"/>
    </row>
    <row r="47" spans="1:24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8"/>
      <c r="V47" s="28"/>
      <c r="W47" s="28"/>
      <c r="X47" s="28"/>
    </row>
    <row r="48" spans="1:24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8"/>
      <c r="V48" s="28"/>
      <c r="W48" s="28"/>
      <c r="X48" s="28"/>
    </row>
    <row r="49" spans="1:24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8"/>
      <c r="V49" s="28"/>
      <c r="W49" s="28"/>
      <c r="X49" s="28"/>
    </row>
    <row r="50" spans="1:24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8"/>
      <c r="V50" s="28"/>
      <c r="W50" s="28"/>
      <c r="X50" s="28"/>
    </row>
    <row r="51" spans="1:24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8"/>
      <c r="V51" s="28"/>
      <c r="W51" s="28"/>
      <c r="X51" s="28"/>
    </row>
    <row r="52" spans="1:24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8"/>
      <c r="V52" s="28"/>
      <c r="W52" s="28"/>
      <c r="X52" s="28"/>
    </row>
    <row r="53" spans="1:24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8"/>
      <c r="V53" s="28"/>
      <c r="W53" s="28"/>
      <c r="X53" s="28"/>
    </row>
    <row r="54" spans="1:2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8"/>
      <c r="V54" s="28"/>
      <c r="W54" s="28"/>
      <c r="X54" s="28"/>
    </row>
    <row r="55" spans="1:24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8"/>
      <c r="V55" s="28"/>
      <c r="W55" s="28"/>
      <c r="X55" s="28"/>
    </row>
    <row r="56" spans="1:24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8"/>
      <c r="V56" s="28"/>
      <c r="W56" s="28"/>
      <c r="X56" s="28"/>
    </row>
    <row r="57" spans="1:24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8"/>
      <c r="V57" s="28"/>
      <c r="W57" s="28"/>
      <c r="X57" s="28"/>
    </row>
    <row r="58" spans="1:24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8"/>
      <c r="V58" s="28"/>
      <c r="W58" s="28"/>
      <c r="X58" s="28"/>
    </row>
    <row r="59" spans="1:24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8"/>
      <c r="V59" s="28"/>
      <c r="W59" s="28"/>
      <c r="X59" s="28"/>
    </row>
    <row r="60" spans="1:24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8"/>
      <c r="V60" s="28"/>
      <c r="W60" s="28"/>
      <c r="X60" s="28"/>
    </row>
    <row r="61" spans="1:24" ht="25.8">
      <c r="A61" s="26" t="s">
        <v>121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8"/>
      <c r="V61" s="28"/>
      <c r="W61" s="28"/>
      <c r="X61" s="28"/>
    </row>
    <row r="62" spans="1:24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8"/>
      <c r="V62" s="28"/>
      <c r="W62" s="28"/>
      <c r="X62" s="28"/>
    </row>
    <row r="63" spans="1:24" ht="40.200000000000003" customHeight="1">
      <c r="A63" s="29" t="s">
        <v>122</v>
      </c>
      <c r="B63" s="29"/>
      <c r="C63" s="29"/>
      <c r="D63" s="29"/>
      <c r="E63" s="29"/>
      <c r="F63" s="29"/>
      <c r="G63" s="29"/>
      <c r="H63" s="29"/>
      <c r="I63" s="29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8"/>
      <c r="V63" s="28"/>
      <c r="W63" s="28"/>
      <c r="X63" s="28"/>
    </row>
    <row r="64" spans="1:24" ht="35.4" customHeight="1">
      <c r="A64" s="29" t="s">
        <v>123</v>
      </c>
      <c r="B64" s="29"/>
      <c r="C64" s="29"/>
      <c r="D64" s="29"/>
      <c r="E64" s="29"/>
      <c r="F64" s="29"/>
      <c r="G64" s="29"/>
      <c r="H64" s="29"/>
      <c r="I64" s="29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8"/>
      <c r="V64" s="28"/>
      <c r="W64" s="28"/>
      <c r="X64" s="28"/>
    </row>
    <row r="65" spans="1:24" ht="37.799999999999997" customHeight="1">
      <c r="A65" s="29" t="s">
        <v>124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2"/>
      <c r="O65" s="22"/>
      <c r="P65" s="22"/>
      <c r="Q65" s="22"/>
      <c r="R65" s="22"/>
      <c r="S65" s="22"/>
      <c r="T65" s="22"/>
      <c r="U65" s="28"/>
      <c r="V65" s="28"/>
      <c r="W65" s="28"/>
      <c r="X65" s="28"/>
    </row>
    <row r="66" spans="1:24" ht="33.6" customHeight="1">
      <c r="A66" s="29" t="s">
        <v>125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2"/>
      <c r="R66" s="22"/>
      <c r="S66" s="22"/>
      <c r="T66" s="22"/>
      <c r="U66" s="28"/>
      <c r="V66" s="28"/>
      <c r="W66" s="28"/>
      <c r="X66" s="28"/>
    </row>
    <row r="67" spans="1:24" ht="37.799999999999997" customHeight="1">
      <c r="A67" s="29" t="s">
        <v>126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2"/>
      <c r="R67" s="22"/>
      <c r="S67" s="22"/>
      <c r="T67" s="22"/>
      <c r="U67" s="28"/>
      <c r="V67" s="28"/>
      <c r="W67" s="28"/>
      <c r="X67" s="28"/>
    </row>
    <row r="68" spans="1:24" ht="35.4" customHeight="1">
      <c r="A68" s="29" t="s">
        <v>127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2"/>
      <c r="R68" s="22"/>
      <c r="S68" s="22"/>
      <c r="T68" s="22"/>
      <c r="U68" s="28"/>
      <c r="V68" s="28"/>
      <c r="W68" s="28"/>
      <c r="X68" s="28"/>
    </row>
    <row r="69" spans="1:24" ht="35.4" customHeight="1">
      <c r="A69" s="29" t="s">
        <v>128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2"/>
      <c r="R69" s="22"/>
      <c r="S69" s="22"/>
      <c r="T69" s="22"/>
      <c r="U69" s="28"/>
      <c r="V69" s="28"/>
      <c r="W69" s="28"/>
      <c r="X69" s="28"/>
    </row>
    <row r="70" spans="1:24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spans="1:24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spans="1:24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spans="1:24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spans="1:2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spans="1:24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spans="1:24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spans="1:24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spans="1:24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spans="1:24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spans="1:24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spans="1:24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spans="1:24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spans="1:24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spans="1:2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spans="1:24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spans="1:24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pans="1:24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spans="1:24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spans="1:24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spans="1:24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spans="1:24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</sheetData>
  <sortState xmlns:xlrd2="http://schemas.microsoft.com/office/spreadsheetml/2017/richdata2" ref="N31:R37">
    <sortCondition descending="1" ref="R31:R37"/>
  </sortState>
  <mergeCells count="15">
    <mergeCell ref="K7:M7"/>
    <mergeCell ref="A7:C7"/>
    <mergeCell ref="P6:S6"/>
    <mergeCell ref="A1:S1"/>
    <mergeCell ref="A3:S3"/>
    <mergeCell ref="A6:D6"/>
    <mergeCell ref="K6:M6"/>
    <mergeCell ref="A4:S4"/>
    <mergeCell ref="A68:P68"/>
    <mergeCell ref="A66:P66"/>
    <mergeCell ref="A67:P67"/>
    <mergeCell ref="A69:P69"/>
    <mergeCell ref="A63:I63"/>
    <mergeCell ref="A64:I64"/>
    <mergeCell ref="A65:M65"/>
  </mergeCells>
  <pageMargins left="0.7" right="0.7" top="0.37" bottom="0.28000000000000003" header="0.3" footer="0.3"/>
  <pageSetup scale="47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0590-10DB-4E23-9C28-6FA7AFFCC560}">
  <dimension ref="A1:I27"/>
  <sheetViews>
    <sheetView topLeftCell="A7" workbookViewId="0">
      <selection activeCell="G12" sqref="G12:H22"/>
    </sheetView>
  </sheetViews>
  <sheetFormatPr defaultRowHeight="14.4"/>
  <sheetData>
    <row r="1" spans="1:9">
      <c r="A1" s="4" t="s">
        <v>110</v>
      </c>
      <c r="B1" t="s">
        <v>102</v>
      </c>
      <c r="C1" s="4" t="s">
        <v>103</v>
      </c>
      <c r="E1" s="10" t="s">
        <v>104</v>
      </c>
      <c r="G1" t="s">
        <v>112</v>
      </c>
      <c r="I1" t="s">
        <v>103</v>
      </c>
    </row>
    <row r="2" spans="1:9">
      <c r="A2" s="4" t="s">
        <v>30</v>
      </c>
      <c r="B2" s="4">
        <f>COUNTIF(FraudData[transaction_type],A2)</f>
        <v>100</v>
      </c>
      <c r="C2" s="4">
        <f>COUNTIFS(FraudData[transaction_type],A2,FraudData[fraud_status],"Fraud")</f>
        <v>24</v>
      </c>
      <c r="E2" s="12">
        <f t="shared" ref="E2:E7" si="0">IFERROR(C2/B2,0)</f>
        <v>0.24</v>
      </c>
      <c r="G2" t="s">
        <v>113</v>
      </c>
      <c r="I2" s="4">
        <f>COUNTIFS(FraudData[amount_range],Calculation!C13,FraudData[is_fraud],1)</f>
        <v>0</v>
      </c>
    </row>
    <row r="3" spans="1:9">
      <c r="A3" s="4" t="s">
        <v>48</v>
      </c>
      <c r="B3" s="4">
        <f>COUNTIF(FraudData[transaction_type],A3)</f>
        <v>205</v>
      </c>
      <c r="C3" s="4">
        <f>COUNTIFS(FraudData[transaction_type],A3,FraudData[fraud_status],"Fraud")</f>
        <v>33</v>
      </c>
      <c r="E3" s="12">
        <f t="shared" si="0"/>
        <v>0.16097560975609757</v>
      </c>
      <c r="G3" t="s">
        <v>114</v>
      </c>
      <c r="I3" s="4">
        <f>COUNTIFS(FraudData[amount],"&gt;=500",FraudData[amount],"&lt;1000",FraudData[is_fraud],1)</f>
        <v>11</v>
      </c>
    </row>
    <row r="4" spans="1:9">
      <c r="A4" s="4" t="s">
        <v>41</v>
      </c>
      <c r="B4" s="4">
        <f>COUNTIF(FraudData[transaction_type],A4)</f>
        <v>146</v>
      </c>
      <c r="C4" s="4">
        <f>COUNTIFS(FraudData[transaction_type],A4,FraudData[fraud_status],"Fraud")</f>
        <v>22</v>
      </c>
      <c r="E4" s="12">
        <f t="shared" si="0"/>
        <v>0.15068493150684931</v>
      </c>
      <c r="G4" t="s">
        <v>115</v>
      </c>
      <c r="I4" s="4">
        <f>COUNTIFS(FraudData[amount],"&gt;=1000",FraudData[amount],"&lt;5000",FraudData[is_fraud],1)</f>
        <v>5</v>
      </c>
    </row>
    <row r="5" spans="1:9">
      <c r="A5" s="4" t="s">
        <v>25</v>
      </c>
      <c r="B5" s="4">
        <f>COUNTIF(FraudData[transaction_type],A5)</f>
        <v>117</v>
      </c>
      <c r="C5" s="4">
        <f>COUNTIFS(FraudData[transaction_type],A5,FraudData[fraud_status],"Fraud")</f>
        <v>16</v>
      </c>
      <c r="E5" s="12">
        <f t="shared" si="0"/>
        <v>0.13675213675213677</v>
      </c>
      <c r="G5" t="s">
        <v>116</v>
      </c>
      <c r="I5" s="4">
        <f>COUNTIFS(FraudData[amount],"&gt;=5000",FraudData[amount],"&lt;10000",FraudData[is_fraud],1)</f>
        <v>0</v>
      </c>
    </row>
    <row r="6" spans="1:9">
      <c r="A6" s="4" t="s">
        <v>35</v>
      </c>
      <c r="B6" s="4">
        <f>COUNTIF(FraudData[transaction_type],A6)</f>
        <v>312</v>
      </c>
      <c r="C6" s="4">
        <f>COUNTIFS(FraudData[transaction_type],A6,FraudData[fraud_status],"Fraud")</f>
        <v>41</v>
      </c>
      <c r="E6" s="12">
        <f t="shared" si="0"/>
        <v>0.13141025641025642</v>
      </c>
      <c r="G6" t="s">
        <v>117</v>
      </c>
      <c r="I6" s="4">
        <f>COUNTIFS(FraudData[amount],"&gt;=10000",FraudData[is_fraud],1)</f>
        <v>0</v>
      </c>
    </row>
    <row r="7" spans="1:9">
      <c r="A7" s="4" t="s">
        <v>19</v>
      </c>
      <c r="B7" s="4">
        <f>COUNTIF(FraudData[transaction_type],A7)</f>
        <v>120</v>
      </c>
      <c r="C7" s="4">
        <f>COUNTIFS(FraudData[transaction_type],A7,FraudData[fraud_status],"Fraud")</f>
        <v>15</v>
      </c>
      <c r="E7" s="12">
        <f t="shared" si="0"/>
        <v>0.125</v>
      </c>
    </row>
    <row r="12" spans="1:9">
      <c r="A12" t="s">
        <v>110</v>
      </c>
      <c r="C12" t="s">
        <v>103</v>
      </c>
      <c r="G12" t="s">
        <v>109</v>
      </c>
      <c r="H12" t="s">
        <v>103</v>
      </c>
    </row>
    <row r="13" spans="1:9">
      <c r="A13" s="4" t="s">
        <v>35</v>
      </c>
      <c r="C13">
        <f>COUNTIFS(FraudData[transaction_type],A13,FraudData[is_fraud],1)</f>
        <v>41</v>
      </c>
      <c r="G13" t="s">
        <v>32</v>
      </c>
      <c r="H13">
        <f>COUNTIFS(FraudData[state],G13,FraudData[is_fraud],1)</f>
        <v>18</v>
      </c>
    </row>
    <row r="14" spans="1:9">
      <c r="A14" t="s">
        <v>48</v>
      </c>
      <c r="C14" s="4">
        <f>COUNTIFS(FraudData[transaction_type],A14,FraudData[is_fraud],1)</f>
        <v>33</v>
      </c>
      <c r="G14" t="s">
        <v>47</v>
      </c>
      <c r="H14">
        <f>COUNTIFS(FraudData[state],G14,FraudData[is_fraud],1)</f>
        <v>14</v>
      </c>
    </row>
    <row r="15" spans="1:9">
      <c r="A15" t="s">
        <v>41</v>
      </c>
      <c r="C15" s="4">
        <f>COUNTIFS(FraudData[transaction_type],A15,FraudData[is_fraud],1)</f>
        <v>22</v>
      </c>
      <c r="G15" t="s">
        <v>45</v>
      </c>
      <c r="H15">
        <f>COUNTIFS(FraudData[state],G15,FraudData[is_fraud],1)</f>
        <v>12</v>
      </c>
    </row>
    <row r="16" spans="1:9">
      <c r="A16" t="s">
        <v>19</v>
      </c>
      <c r="C16" s="4">
        <f>COUNTIFS(FraudData[transaction_type],A16,FraudData[is_fraud],1)</f>
        <v>15</v>
      </c>
      <c r="G16" t="s">
        <v>37</v>
      </c>
      <c r="H16">
        <f>COUNTIFS(FraudData[state],G16,FraudData[is_fraud],1)</f>
        <v>12</v>
      </c>
    </row>
    <row r="17" spans="1:8">
      <c r="A17" t="s">
        <v>30</v>
      </c>
      <c r="C17" s="4">
        <f>COUNTIFS(FraudData[transaction_type],A17,FraudData[is_fraud],1)</f>
        <v>24</v>
      </c>
      <c r="G17" t="s">
        <v>60</v>
      </c>
      <c r="H17">
        <f>COUNTIFS(FraudData[state],G17,FraudData[is_fraud],1)</f>
        <v>11</v>
      </c>
    </row>
    <row r="18" spans="1:8">
      <c r="A18" t="s">
        <v>25</v>
      </c>
      <c r="C18" s="4">
        <f>COUNTIFS(FraudData[transaction_type],A18,FraudData[is_fraud],1)</f>
        <v>16</v>
      </c>
      <c r="G18" t="s">
        <v>15</v>
      </c>
      <c r="H18">
        <f>COUNTIFS(FraudData[state],G18,FraudData[is_fraud],1)</f>
        <v>7</v>
      </c>
    </row>
    <row r="19" spans="1:8">
      <c r="G19" t="s">
        <v>40</v>
      </c>
      <c r="H19">
        <f>COUNTIFS(FraudData[state],G19,FraudData[is_fraud],1)</f>
        <v>7</v>
      </c>
    </row>
    <row r="20" spans="1:8">
      <c r="G20" t="s">
        <v>27</v>
      </c>
      <c r="H20">
        <f>COUNTIFS(FraudData[state],G20,FraudData[is_fraud],1)</f>
        <v>5</v>
      </c>
    </row>
    <row r="21" spans="1:8">
      <c r="G21" t="s">
        <v>54</v>
      </c>
      <c r="H21">
        <f>COUNTIFS(FraudData[state],G21,FraudData[is_fraud],1)</f>
        <v>2</v>
      </c>
    </row>
    <row r="22" spans="1:8">
      <c r="G22" t="s">
        <v>25</v>
      </c>
      <c r="H22">
        <f>COUNTIFS(FraudData[state],G22,FraudData[is_fraud],1)</f>
        <v>0</v>
      </c>
    </row>
    <row r="25" spans="1:8" ht="15.6">
      <c r="A25" s="8" t="s">
        <v>105</v>
      </c>
      <c r="B25" s="8"/>
      <c r="C25" s="9" t="s">
        <v>106</v>
      </c>
    </row>
    <row r="26" spans="1:8" ht="15.6">
      <c r="A26" s="6" t="s">
        <v>36</v>
      </c>
      <c r="B26" s="6"/>
      <c r="C26" s="6">
        <f>COUNTIF(FraudData[is_fraud],1)</f>
        <v>151</v>
      </c>
    </row>
    <row r="27" spans="1:8" ht="15.6">
      <c r="A27" s="6" t="s">
        <v>107</v>
      </c>
      <c r="B27" s="6"/>
      <c r="C27" s="7">
        <f>COUNTIF(FraudData[is_fraud],0)</f>
        <v>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28" customWidth="1"/>
    <col min="2" max="2" width="90" customWidth="1"/>
  </cols>
  <sheetData>
    <row r="1" spans="1:2">
      <c r="A1" s="2" t="s">
        <v>77</v>
      </c>
      <c r="B1" s="2" t="s">
        <v>78</v>
      </c>
    </row>
    <row r="2" spans="1:2">
      <c r="A2" t="s">
        <v>0</v>
      </c>
      <c r="B2" s="3" t="s">
        <v>79</v>
      </c>
    </row>
    <row r="3" spans="1:2">
      <c r="A3" t="s">
        <v>1</v>
      </c>
      <c r="B3" s="3" t="s">
        <v>80</v>
      </c>
    </row>
    <row r="4" spans="1:2">
      <c r="A4" t="s">
        <v>2</v>
      </c>
      <c r="B4" s="3" t="s">
        <v>81</v>
      </c>
    </row>
    <row r="5" spans="1:2">
      <c r="A5" t="s">
        <v>3</v>
      </c>
      <c r="B5" s="3" t="s">
        <v>82</v>
      </c>
    </row>
    <row r="6" spans="1:2">
      <c r="A6" t="s">
        <v>4</v>
      </c>
      <c r="B6" s="3" t="s">
        <v>83</v>
      </c>
    </row>
    <row r="7" spans="1:2">
      <c r="A7" t="s">
        <v>5</v>
      </c>
      <c r="B7" s="3" t="s">
        <v>84</v>
      </c>
    </row>
    <row r="8" spans="1:2">
      <c r="A8" t="s">
        <v>6</v>
      </c>
      <c r="B8" s="3" t="s">
        <v>85</v>
      </c>
    </row>
    <row r="9" spans="1:2">
      <c r="A9" t="s">
        <v>7</v>
      </c>
      <c r="B9" s="3" t="s">
        <v>86</v>
      </c>
    </row>
    <row r="10" spans="1:2">
      <c r="A10" t="s">
        <v>8</v>
      </c>
      <c r="B10" s="3" t="s">
        <v>87</v>
      </c>
    </row>
    <row r="11" spans="1:2">
      <c r="A11" t="s">
        <v>9</v>
      </c>
      <c r="B11" s="3" t="s">
        <v>88</v>
      </c>
    </row>
    <row r="12" spans="1:2">
      <c r="A12" t="s">
        <v>10</v>
      </c>
      <c r="B12" s="3" t="s">
        <v>89</v>
      </c>
    </row>
    <row r="13" spans="1:2">
      <c r="A13" t="s">
        <v>11</v>
      </c>
      <c r="B13" s="3" t="s">
        <v>90</v>
      </c>
    </row>
    <row r="14" spans="1:2">
      <c r="A14" t="s">
        <v>12</v>
      </c>
      <c r="B14" s="3" t="s">
        <v>91</v>
      </c>
    </row>
    <row r="15" spans="1:2">
      <c r="A15" t="s">
        <v>13</v>
      </c>
      <c r="B15" s="3" t="s">
        <v>92</v>
      </c>
    </row>
    <row r="16" spans="1:2">
      <c r="A16" t="s">
        <v>14</v>
      </c>
      <c r="B16" s="3" t="s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selection sqref="A1:D1"/>
    </sheetView>
  </sheetViews>
  <sheetFormatPr defaultRowHeight="14.4"/>
  <cols>
    <col min="1" max="4" width="24" customWidth="1"/>
  </cols>
  <sheetData>
    <row r="1" spans="1:4" ht="18">
      <c r="A1" s="40" t="s">
        <v>94</v>
      </c>
      <c r="B1" s="41"/>
      <c r="C1" s="41"/>
      <c r="D1" s="41"/>
    </row>
    <row r="3" spans="1:4" ht="36" customHeight="1">
      <c r="A3" s="42" t="s">
        <v>95</v>
      </c>
      <c r="B3" s="41"/>
      <c r="C3" s="41"/>
      <c r="D3" s="41"/>
    </row>
    <row r="4" spans="1:4" ht="36" customHeight="1">
      <c r="A4" s="42" t="s">
        <v>96</v>
      </c>
      <c r="B4" s="41"/>
      <c r="C4" s="41"/>
      <c r="D4" s="41"/>
    </row>
    <row r="5" spans="1:4" ht="36" customHeight="1">
      <c r="A5" s="42" t="s">
        <v>97</v>
      </c>
      <c r="B5" s="41"/>
      <c r="C5" s="41"/>
      <c r="D5" s="41"/>
    </row>
    <row r="6" spans="1:4" ht="36" customHeight="1">
      <c r="A6" s="42" t="s">
        <v>98</v>
      </c>
      <c r="B6" s="41"/>
      <c r="C6" s="41"/>
      <c r="D6" s="41"/>
    </row>
    <row r="7" spans="1:4" ht="36" customHeight="1">
      <c r="A7" s="42" t="s">
        <v>99</v>
      </c>
      <c r="B7" s="41"/>
      <c r="C7" s="41"/>
      <c r="D7" s="41"/>
    </row>
    <row r="8" spans="1:4" ht="36" customHeight="1">
      <c r="A8" s="42" t="s">
        <v>100</v>
      </c>
      <c r="B8" s="41"/>
      <c r="C8" s="41"/>
      <c r="D8" s="41"/>
    </row>
    <row r="9" spans="1:4" ht="36" customHeight="1">
      <c r="A9" s="42" t="s">
        <v>101</v>
      </c>
      <c r="B9" s="41"/>
      <c r="C9" s="41"/>
      <c r="D9" s="41"/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 Data</vt:lpstr>
      <vt:lpstr>Dashboard</vt:lpstr>
      <vt:lpstr>Calculation</vt:lpstr>
      <vt:lpstr>Column Guide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 bhuvad</cp:lastModifiedBy>
  <cp:lastPrinted>2026-10-27T15:59:45Z</cp:lastPrinted>
  <dcterms:created xsi:type="dcterms:W3CDTF">2026-10-15T19:30:48Z</dcterms:created>
  <dcterms:modified xsi:type="dcterms:W3CDTF">2026-10-27T16:02:08Z</dcterms:modified>
</cp:coreProperties>
</file>